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기준단가" sheetId="2" state="visible" r:id="rId4"/>
    <sheet name="월" sheetId="3" state="visible" r:id="rId5"/>
    <sheet name="화" sheetId="4" state="visible" r:id="rId6"/>
    <sheet name="수" sheetId="5" state="visible" r:id="rId7"/>
    <sheet name="목" sheetId="6" state="visible" r:id="rId8"/>
    <sheet name="금" sheetId="7" state="visible" r:id="rId9"/>
    <sheet name="토" sheetId="8" state="visible" r:id="rId10"/>
    <sheet name="일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<sst xmlns="http://schemas.openxmlformats.org/spreadsheetml/2006/main" count="244" uniqueCount="90">
  <si>
    <t xml:space="preserve">육류 단가표 사용법</t>
  </si>
  <si>
    <r>
      <rPr>
        <sz val="10"/>
        <rFont val="Arial"/>
        <family val="0"/>
        <charset val="1"/>
      </rPr>
      <t xml:space="preserve">1. [</t>
    </r>
    <r>
      <rPr>
        <sz val="10"/>
        <rFont val="WenQuanYi Zen Hei"/>
        <family val="2"/>
      </rPr>
      <t xml:space="preserve">기준단가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매입일보의 실제 매입단가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/kg 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새 입고가 있으면 파란색 글씨 칸만 수정하세요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</si>
  <si>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[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]~[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매입가는 기준단가에서 자동 연동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노란색 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미트박스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금천미트 시세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마진율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수량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만 입력하세요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</si>
  <si>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견적가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매입가 </t>
    </r>
    <r>
      <rPr>
        <sz val="10"/>
        <rFont val="Arial"/>
        <family val="0"/>
        <charset val="1"/>
      </rPr>
      <t xml:space="preserve">x (1+</t>
    </r>
    <r>
      <rPr>
        <sz val="10"/>
        <rFont val="WenQuanYi Zen Hei"/>
        <family val="2"/>
      </rPr>
      <t xml:space="preserve">마진율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원 단위 반올림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시세평균 대비 </t>
    </r>
    <r>
      <rPr>
        <sz val="10"/>
        <rFont val="Arial"/>
        <family val="0"/>
        <charset val="1"/>
      </rPr>
      <t xml:space="preserve">%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면 시세보다 비싸다는 뜻입니다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</si>
  <si>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시세 입력 시 반드시 같은 브랜드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원산지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보관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냉장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냉동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제품으로 맞추세요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비고에 출처 날짜를 적으면 좋습니다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</si>
  <si>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주의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가정</t>
    </r>
  </si>
  <si>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미트박스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금천미트는 로그인 후 가격 공개 도매몰이라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작성 시점에 시세를 자동 조회하지 못해 시세 칸은 비워 두었습니다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임의 숫자 미기재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</si>
  <si>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매입일보의 평균단가는 원</t>
    </r>
    <r>
      <rPr>
        <sz val="10"/>
        <rFont val="Arial"/>
        <family val="0"/>
        <charset val="1"/>
      </rPr>
      <t xml:space="preserve">/kg </t>
    </r>
    <r>
      <rPr>
        <sz val="10"/>
        <rFont val="WenQuanYi Zen Hei"/>
        <family val="2"/>
      </rPr>
      <t xml:space="preserve">단위로 가정했습니다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박스단위면 알려주세요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</si>
  <si>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같은 품목이 여러 번 입고된 경우 가장 최근 단가를 사용했습니다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돈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지방 </t>
    </r>
    <r>
      <rPr>
        <sz val="10"/>
        <rFont val="Arial"/>
        <family val="0"/>
        <charset val="1"/>
      </rPr>
      <t xml:space="preserve">10/21 2,400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돈미사태 </t>
    </r>
    <r>
      <rPr>
        <sz val="10"/>
        <rFont val="Arial"/>
        <family val="0"/>
        <charset val="1"/>
      </rPr>
      <t xml:space="preserve">10/22 8,500</t>
    </r>
    <r>
      <rPr>
        <sz val="10"/>
        <rFont val="WenQuanYi Zen Hei"/>
        <family val="2"/>
      </rPr>
      <t xml:space="preserve">원 등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</si>
  <si>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기본 마진율은 각 요일 시트 </t>
    </r>
    <r>
      <rPr>
        <sz val="10"/>
        <rFont val="Arial"/>
        <family val="0"/>
        <charset val="1"/>
      </rPr>
      <t xml:space="preserve">C3 </t>
    </r>
    <r>
      <rPr>
        <sz val="10"/>
        <rFont val="WenQuanYi Zen Hei"/>
        <family val="2"/>
      </rPr>
      <t xml:space="preserve">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 </t>
    </r>
    <r>
      <rPr>
        <sz val="10"/>
        <rFont val="Arial"/>
        <family val="0"/>
        <charset val="1"/>
      </rPr>
      <t xml:space="preserve">15%)</t>
    </r>
    <r>
      <rPr>
        <sz val="10"/>
        <rFont val="WenQuanYi Zen Hei"/>
        <family val="2"/>
      </rPr>
      <t xml:space="preserve">이며 가정치입니다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회사 기준에 맞게 변경하세요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</si>
  <si>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기준단가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매입일보 실제 매입가</t>
    </r>
    <r>
      <rPr>
        <b val="true"/>
        <sz val="14"/>
        <rFont val="Arial"/>
        <family val="0"/>
        <charset val="1"/>
      </rPr>
      <t xml:space="preserve">)</t>
    </r>
  </si>
  <si>
    <t xml:space="preserve">No</t>
  </si>
  <si>
    <t xml:space="preserve">품목</t>
  </si>
  <si>
    <t xml:space="preserve">브랜드</t>
  </si>
  <si>
    <t xml:space="preserve">원산지</t>
  </si>
  <si>
    <t xml:space="preserve">보관</t>
  </si>
  <si>
    <t xml:space="preserve">거래처</t>
  </si>
  <si>
    <r>
      <rPr>
        <b val="true"/>
        <sz val="10"/>
        <color rgb="FFFFFFFF"/>
        <rFont val="WenQuanYi Zen Hei"/>
        <family val="2"/>
      </rPr>
      <t xml:space="preserve">최근 매입단가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/kg)</t>
    </r>
  </si>
  <si>
    <t xml:space="preserve">최근 입고일</t>
  </si>
  <si>
    <t xml:space="preserve">비고</t>
  </si>
  <si>
    <r>
      <rPr>
        <sz val="10"/>
        <color rgb="FF000000"/>
        <rFont val="WenQuanYi Zen Hei"/>
        <family val="2"/>
      </rPr>
      <t xml:space="preserve">돈목살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성산한방</t>
    </r>
    <r>
      <rPr>
        <sz val="10"/>
        <color rgb="FF000000"/>
        <rFont val="Arial"/>
        <family val="0"/>
        <charset val="1"/>
      </rPr>
      <t xml:space="preserve">)</t>
    </r>
  </si>
  <si>
    <t xml:space="preserve">성산</t>
  </si>
  <si>
    <t xml:space="preserve">국내산</t>
  </si>
  <si>
    <t xml:space="preserve">냉장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</si>
  <si>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가은</t>
    </r>
    <r>
      <rPr>
        <sz val="10"/>
        <color rgb="FF000000"/>
        <rFont val="Arial"/>
        <family val="0"/>
        <charset val="1"/>
      </rPr>
      <t xml:space="preserve">MPC</t>
    </r>
  </si>
  <si>
    <t xml:space="preserve">돈미박삼겹살</t>
  </si>
  <si>
    <t xml:space="preserve">돈삼겹살</t>
  </si>
  <si>
    <t xml:space="preserve">오즈갈비</t>
  </si>
  <si>
    <t xml:space="preserve">-</t>
  </si>
  <si>
    <t xml:space="preserve">냉동</t>
  </si>
  <si>
    <t xml:space="preserve">우볼살</t>
  </si>
  <si>
    <t xml:space="preserve">KILCOY</t>
  </si>
  <si>
    <t xml:space="preserve">호주산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</si>
  <si>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동원홈푸드</t>
    </r>
  </si>
  <si>
    <r>
      <rPr>
        <sz val="10"/>
        <color rgb="FF000000"/>
        <rFont val="WenQuanYi Zen Hei"/>
        <family val="2"/>
      </rPr>
      <t xml:space="preserve">우볼살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작업</t>
    </r>
    <r>
      <rPr>
        <sz val="10"/>
        <color rgb="FF000000"/>
        <rFont val="Arial"/>
        <family val="0"/>
        <charset val="1"/>
      </rPr>
      <t xml:space="preserve">)</t>
    </r>
  </si>
  <si>
    <t xml:space="preserve">AMH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</si>
  <si>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선우프레시</t>
    </r>
  </si>
  <si>
    <t xml:space="preserve">MARCHER</t>
  </si>
  <si>
    <t xml:space="preserve">오스트리아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</si>
  <si>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아이푸드트레이딩</t>
    </r>
  </si>
  <si>
    <t xml:space="preserve">와규등심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</si>
  <si>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위드유럽패니</t>
    </r>
  </si>
  <si>
    <r>
      <rPr>
        <sz val="10"/>
        <color rgb="FF000000"/>
        <rFont val="WenQuanYi Zen Hei"/>
        <family val="2"/>
      </rPr>
      <t xml:space="preserve">반품예정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WenQuanYi Zen Hei"/>
        <family val="2"/>
      </rPr>
      <t xml:space="preserve">견적 제외 권장</t>
    </r>
  </si>
  <si>
    <r>
      <rPr>
        <sz val="10"/>
        <color rgb="FF000000"/>
        <rFont val="WenQuanYi Zen Hei"/>
        <family val="2"/>
      </rPr>
      <t xml:space="preserve">우곱창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곡물</t>
    </r>
    <r>
      <rPr>
        <sz val="10"/>
        <color rgb="FF000000"/>
        <rFont val="Arial"/>
        <family val="0"/>
        <charset val="1"/>
      </rPr>
      <t xml:space="preserve">)</t>
    </r>
  </si>
  <si>
    <t xml:space="preserve">OAKEY</t>
  </si>
  <si>
    <t xml:space="preserve">주식회사 명품미트</t>
  </si>
  <si>
    <t xml:space="preserve">우깐양</t>
  </si>
  <si>
    <t xml:space="preserve">TEYS</t>
  </si>
  <si>
    <t xml:space="preserve">돈가브리살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</si>
  <si>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대광축산</t>
    </r>
  </si>
  <si>
    <t xml:space="preserve">돈항정살</t>
  </si>
  <si>
    <t xml:space="preserve">돈미사태</t>
  </si>
  <si>
    <r>
      <rPr>
        <sz val="10"/>
        <color rgb="FF000000"/>
        <rFont val="WenQuanYi Zen Hei"/>
        <family val="2"/>
      </rPr>
      <t xml:space="preserve">태복청풍미트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</si>
  <si>
    <t xml:space="preserve">우삼겹양지</t>
  </si>
  <si>
    <t xml:space="preserve">IBP</t>
  </si>
  <si>
    <t xml:space="preserve">미국산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</si>
  <si>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가흥</t>
    </r>
  </si>
  <si>
    <r>
      <rPr>
        <sz val="10"/>
        <color rgb="FF000000"/>
        <rFont val="WenQuanYi Zen Hei"/>
        <family val="2"/>
      </rPr>
      <t xml:space="preserve">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지방</t>
    </r>
  </si>
  <si>
    <r>
      <rPr>
        <sz val="10"/>
        <color rgb="FF000000"/>
        <rFont val="Arial"/>
        <family val="0"/>
        <charset val="1"/>
      </rPr>
      <t xml:space="preserve">10/19 </t>
    </r>
    <r>
      <rPr>
        <sz val="10"/>
        <color rgb="FF000000"/>
        <rFont val="WenQuanYi Zen Hei"/>
        <family val="2"/>
      </rPr>
      <t xml:space="preserve">가은</t>
    </r>
    <r>
      <rPr>
        <sz val="10"/>
        <color rgb="FF000000"/>
        <rFont val="Arial"/>
        <family val="0"/>
        <charset val="1"/>
      </rPr>
      <t xml:space="preserve">MPC 2,500</t>
    </r>
    <r>
      <rPr>
        <sz val="10"/>
        <color rgb="FF000000"/>
        <rFont val="WenQuanYi Zen Hei"/>
        <family val="2"/>
      </rPr>
      <t xml:space="preserve">원</t>
    </r>
  </si>
  <si>
    <t xml:space="preserve">돈갈비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</si>
  <si>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돈우</t>
    </r>
  </si>
  <si>
    <r>
      <rPr>
        <sz val="10"/>
        <color rgb="FF000000"/>
        <rFont val="WenQuanYi Zen Hei"/>
        <family val="2"/>
      </rPr>
      <t xml:space="preserve">우안심살</t>
    </r>
    <r>
      <rPr>
        <sz val="10"/>
        <color rgb="FF000000"/>
        <rFont val="Arial"/>
        <family val="0"/>
        <charset val="1"/>
      </rPr>
      <t xml:space="preserve">(A)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</si>
  <si>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마블플러스원</t>
    </r>
  </si>
  <si>
    <r>
      <rPr>
        <sz val="10"/>
        <color rgb="FF000000"/>
        <rFont val="WenQuanYi Zen Hei"/>
        <family val="2"/>
      </rPr>
      <t xml:space="preserve">돈뽀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메이플</t>
    </r>
    <r>
      <rPr>
        <sz val="10"/>
        <color rgb="FF000000"/>
        <rFont val="Arial"/>
        <family val="0"/>
        <charset val="1"/>
      </rPr>
      <t xml:space="preserve">)</t>
    </r>
  </si>
  <si>
    <t xml:space="preserve">캐나다산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</si>
  <si>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푸드본</t>
    </r>
  </si>
  <si>
    <t xml:space="preserve">우차돌박이</t>
  </si>
  <si>
    <t xml:space="preserve">EXCEL</t>
  </si>
  <si>
    <t xml:space="preserve">캐틀팜</t>
  </si>
  <si>
    <r>
      <rPr>
        <i val="true"/>
        <sz val="9"/>
        <rFont val="WenQuanYi Zen Hei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업로드된 매입일보</t>
    </r>
    <r>
      <rPr>
        <i val="true"/>
        <sz val="9"/>
        <rFont val="Arial"/>
        <family val="0"/>
        <charset val="1"/>
      </rPr>
      <t xml:space="preserve">(2026-10-19~10-22). </t>
    </r>
    <r>
      <rPr>
        <i val="true"/>
        <sz val="9"/>
        <rFont val="WenQuanYi Zen Hei"/>
        <family val="2"/>
      </rPr>
      <t xml:space="preserve">단가는 사용자 제공값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</si>
  <si>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육류 단가표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월요일 </t>
    </r>
    <r>
      <rPr>
        <b val="true"/>
        <sz val="14"/>
        <rFont val="Arial"/>
        <family val="0"/>
        <charset val="1"/>
      </rPr>
      <t xml:space="preserve">(2026-10-26)</t>
    </r>
  </si>
  <si>
    <t xml:space="preserve">기본 마진율</t>
  </si>
  <si>
    <r>
      <rPr>
        <i val="true"/>
        <sz val="9"/>
        <rFont val="WenQuanYi Zen Hei"/>
        <family val="2"/>
      </rPr>
      <t xml:space="preserve">← 가정치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변경 가능</t>
    </r>
  </si>
  <si>
    <t xml:space="preserve">매입단가</t>
  </si>
  <si>
    <t xml:space="preserve">미트박스 시세</t>
  </si>
  <si>
    <t xml:space="preserve">금천미트 시세</t>
  </si>
  <si>
    <t xml:space="preserve">시세평균</t>
  </si>
  <si>
    <r>
      <rPr>
        <b val="true"/>
        <sz val="10"/>
        <color rgb="FFFFFFFF"/>
        <rFont val="WenQuanYi Zen Hei"/>
        <family val="2"/>
      </rPr>
      <t xml:space="preserve">견적가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마진적용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</si>
  <si>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시세평균 대비</t>
  </si>
  <si>
    <r>
      <rPr>
        <b val="true"/>
        <sz val="10"/>
        <color rgb="FFFFFFFF"/>
        <rFont val="WenQuanYi Zen Hei"/>
        <family val="2"/>
      </rPr>
      <t xml:space="preserve">고객 수량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</si>
  <si>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견적 금액</t>
  </si>
  <si>
    <r>
      <rPr>
        <b val="true"/>
        <sz val="10"/>
        <color rgb="FFFFFFFF"/>
        <rFont val="WenQuanYi Zen Hei"/>
        <family val="2"/>
      </rPr>
      <t xml:space="preserve">메모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출처</t>
    </r>
  </si>
  <si>
    <r>
      <rPr>
        <b val="true"/>
        <sz val="10"/>
        <rFont val="WenQuanYi Zen Hei"/>
        <family val="2"/>
      </rPr>
      <t xml:space="preserve">합계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견적 금액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</si>
  <si>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예시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미트박스 시세 칸에 같은 브랜드 제품의 </t>
    </r>
    <r>
      <rPr>
        <i val="true"/>
        <sz val="9"/>
        <rFont val="Arial"/>
        <family val="0"/>
        <charset val="1"/>
      </rPr>
      <t xml:space="preserve">kg</t>
    </r>
    <r>
      <rPr>
        <i val="true"/>
        <sz val="9"/>
        <rFont val="WenQuanYi Zen Hei"/>
        <family val="2"/>
      </rPr>
      <t xml:space="preserve">당 가격을 입력 → 시세평균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WenQuanYi Zen Hei"/>
        <family val="2"/>
      </rPr>
      <t xml:space="preserve">견적가 비교가 자동 계산됩니다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노란색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WenQuanYi Zen Hei"/>
        <family val="2"/>
      </rPr>
      <t xml:space="preserve">입력칸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</si>
  <si>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육류 단가표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화요일 </t>
    </r>
    <r>
      <rPr>
        <b val="true"/>
        <sz val="14"/>
        <rFont val="Arial"/>
        <family val="0"/>
        <charset val="1"/>
      </rPr>
      <t xml:space="preserve">(2026-10-27)</t>
    </r>
  </si>
  <si>
    <r>
      <rPr>
        <b val="true"/>
        <sz val="14"/>
        <rFont val="WenQuanYi Zen Hei"/>
        <family val="2"/>
      </rPr>
      <t xml:space="preserve">육류 단가표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수요일 </t>
    </r>
    <r>
      <rPr>
        <b val="true"/>
        <sz val="14"/>
        <rFont val="Arial"/>
        <family val="0"/>
        <charset val="1"/>
      </rPr>
      <t xml:space="preserve">(2026-10-28)</t>
    </r>
  </si>
  <si>
    <r>
      <rPr>
        <b val="true"/>
        <sz val="14"/>
        <rFont val="WenQuanYi Zen Hei"/>
        <family val="2"/>
      </rPr>
      <t xml:space="preserve">육류 단가표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목요일 </t>
    </r>
    <r>
      <rPr>
        <b val="true"/>
        <sz val="14"/>
        <rFont val="Arial"/>
        <family val="0"/>
        <charset val="1"/>
      </rPr>
      <t xml:space="preserve">(2026-10-29)</t>
    </r>
  </si>
  <si>
    <r>
      <rPr>
        <b val="true"/>
        <sz val="14"/>
        <rFont val="WenQuanYi Zen Hei"/>
        <family val="2"/>
      </rPr>
      <t xml:space="preserve">육류 단가표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금요일 </t>
    </r>
    <r>
      <rPr>
        <b val="true"/>
        <sz val="14"/>
        <rFont val="Arial"/>
        <family val="0"/>
        <charset val="1"/>
      </rPr>
      <t xml:space="preserve">(2026-10-30)</t>
    </r>
  </si>
  <si>
    <r>
      <rPr>
        <b val="true"/>
        <sz val="14"/>
        <rFont val="WenQuanYi Zen Hei"/>
        <family val="2"/>
      </rPr>
      <t xml:space="preserve">육류 단가표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토요일 </t>
    </r>
    <r>
      <rPr>
        <b val="true"/>
        <sz val="14"/>
        <rFont val="Arial"/>
        <family val="0"/>
        <charset val="1"/>
      </rPr>
      <t xml:space="preserve">(2026-10-31)</t>
    </r>
  </si>
  <si>
    <r>
      <rPr>
        <b val="true"/>
        <sz val="14"/>
        <rFont val="WenQuanYi Zen Hei"/>
        <family val="2"/>
      </rPr>
      <t xml:space="preserve">육류 단가표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일요일 </t>
    </r>
    <r>
      <rPr>
        <b val="true"/>
        <sz val="14"/>
        <rFont val="Arial"/>
        <family val="0"/>
        <charset val="1"/>
      </rPr>
      <t xml:space="preserve">(2026-11-01)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</si>
</sst>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yyyy\-mm\-dd"/>
    <numFmt numFmtId="167" formatCode="0.0%"/>
    <numFmt numFmtId="168" formatCode="\+0.0%;\-0.0%;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00FF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3" customFormat="false" ht="14.15" hidden="false" customHeight="false" outlineLevel="0" collapsed="false">
      <c r="A3" s="2" t="s">
        <v>2</v>
      </c>
    </row>
    <row r="4" customFormat="false" ht="14.15" hidden="false" customHeight="false" outlineLevel="0" collapsed="false">
      <c r="A4" s="2" t="s">
        <v>3</v>
      </c>
    </row>
    <row r="5" customFormat="false" ht="14.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/>
    </row>
    <row r="7" customFormat="false" ht="14.15" hidden="false" customHeight="false" outlineLevel="0" collapsed="false">
      <c r="A7" s="3" t="s">
        <v>5</v>
      </c>
    </row>
    <row r="8" customFormat="false" ht="14.15" hidden="false" customHeight="false" outlineLevel="0" collapsed="false">
      <c r="A8" s="2" t="s">
        <v>6</v>
      </c>
    </row>
    <row r="9" customFormat="false" ht="14.15" hidden="false" customHeight="false" outlineLevel="0" collapsed="false">
      <c r="A9" s="2" t="s">
        <v>7</v>
      </c>
    </row>
    <row r="10" customFormat="false" ht="14.15" hidden="false" customHeight="false" outlineLevel="0" collapsed="false">
      <c r="A10" s="2" t="s">
        <v>8</v>
      </c>
    </row>
    <row r="11" customFormat="false" ht="14.15" hidden="false" customHeight="false" outlineLevel="0" collapsed="false">
      <c r="A1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8"/>
  </cols>
  <sheetData>
    <row r="1" customFormat="false" ht="19.4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</row>
    <row r="4" customFormat="false" ht="15" hidden="false" customHeight="false" outlineLevel="0" collapsed="false">
      <c r="A4" s="6" t="n">
        <v>1</v>
      </c>
      <c r="B4" s="7" t="s">
        <v>20</v>
      </c>
      <c r="C4" s="8" t="s">
        <v>21</v>
      </c>
      <c r="D4" s="8" t="s">
        <v>22</v>
      </c>
      <c r="E4" s="8" t="s">
        <v>23</v>
      </c>
      <c r="F4" s="9" t="s">
        <v>24</v>
      </c>
      <c r="G4" s="10" t="n">
        <v>18000</v>
      </c>
      <c r="H4" s="11" t="n">
        <v>46314</v>
      </c>
      <c r="I4" s="9"/>
    </row>
    <row r="5" customFormat="false" ht="15" hidden="false" customHeight="false" outlineLevel="0" collapsed="false">
      <c r="A5" s="6" t="n">
        <v>2</v>
      </c>
      <c r="B5" s="7" t="s">
        <v>25</v>
      </c>
      <c r="C5" s="8" t="s">
        <v>21</v>
      </c>
      <c r="D5" s="8" t="s">
        <v>22</v>
      </c>
      <c r="E5" s="8" t="s">
        <v>23</v>
      </c>
      <c r="F5" s="9" t="s">
        <v>24</v>
      </c>
      <c r="G5" s="10" t="n">
        <v>18000</v>
      </c>
      <c r="H5" s="11" t="n">
        <v>46314</v>
      </c>
      <c r="I5" s="9"/>
    </row>
    <row r="6" customFormat="false" ht="15" hidden="false" customHeight="false" outlineLevel="0" collapsed="false">
      <c r="A6" s="6" t="n">
        <v>3</v>
      </c>
      <c r="B6" s="7" t="s">
        <v>26</v>
      </c>
      <c r="C6" s="8" t="s">
        <v>21</v>
      </c>
      <c r="D6" s="8" t="s">
        <v>22</v>
      </c>
      <c r="E6" s="8" t="s">
        <v>23</v>
      </c>
      <c r="F6" s="9" t="s">
        <v>24</v>
      </c>
      <c r="G6" s="10" t="n">
        <v>18500</v>
      </c>
      <c r="H6" s="11" t="n">
        <v>46314</v>
      </c>
      <c r="I6" s="9"/>
    </row>
    <row r="7" customFormat="false" ht="15" hidden="false" customHeight="false" outlineLevel="0" collapsed="false">
      <c r="A7" s="6" t="n">
        <v>4</v>
      </c>
      <c r="B7" s="7" t="s">
        <v>27</v>
      </c>
      <c r="C7" s="6" t="s">
        <v>28</v>
      </c>
      <c r="D7" s="6" t="s">
        <v>28</v>
      </c>
      <c r="E7" s="8" t="s">
        <v>29</v>
      </c>
      <c r="F7" s="9" t="s">
        <v>24</v>
      </c>
      <c r="G7" s="10" t="n">
        <v>10000</v>
      </c>
      <c r="H7" s="11" t="n">
        <v>46314</v>
      </c>
      <c r="I7" s="9"/>
    </row>
    <row r="8" customFormat="false" ht="15" hidden="false" customHeight="false" outlineLevel="0" collapsed="false">
      <c r="A8" s="6" t="n">
        <v>5</v>
      </c>
      <c r="B8" s="7" t="s">
        <v>30</v>
      </c>
      <c r="C8" s="6" t="s">
        <v>31</v>
      </c>
      <c r="D8" s="8" t="s">
        <v>32</v>
      </c>
      <c r="E8" s="8" t="s">
        <v>29</v>
      </c>
      <c r="F8" s="9" t="s">
        <v>33</v>
      </c>
      <c r="G8" s="10" t="n">
        <v>14000</v>
      </c>
      <c r="H8" s="11" t="n">
        <v>46314</v>
      </c>
      <c r="I8" s="9"/>
    </row>
    <row r="9" customFormat="false" ht="15" hidden="false" customHeight="false" outlineLevel="0" collapsed="false">
      <c r="A9" s="6" t="n">
        <v>6</v>
      </c>
      <c r="B9" s="7" t="s">
        <v>34</v>
      </c>
      <c r="C9" s="6" t="s">
        <v>35</v>
      </c>
      <c r="D9" s="8" t="s">
        <v>32</v>
      </c>
      <c r="E9" s="8" t="s">
        <v>29</v>
      </c>
      <c r="F9" s="9" t="s">
        <v>36</v>
      </c>
      <c r="G9" s="10" t="n">
        <v>11000</v>
      </c>
      <c r="H9" s="11" t="n">
        <v>46317</v>
      </c>
      <c r="I9" s="9"/>
    </row>
    <row r="10" customFormat="false" ht="15" hidden="false" customHeight="false" outlineLevel="0" collapsed="false">
      <c r="A10" s="6" t="n">
        <v>7</v>
      </c>
      <c r="B10" s="7" t="s">
        <v>26</v>
      </c>
      <c r="C10" s="6" t="s">
        <v>37</v>
      </c>
      <c r="D10" s="8" t="s">
        <v>38</v>
      </c>
      <c r="E10" s="8" t="s">
        <v>29</v>
      </c>
      <c r="F10" s="9" t="s">
        <v>39</v>
      </c>
      <c r="G10" s="10" t="n">
        <v>6000</v>
      </c>
      <c r="H10" s="11" t="n">
        <v>46314</v>
      </c>
      <c r="I10" s="9"/>
    </row>
    <row r="11" customFormat="false" ht="15" hidden="false" customHeight="false" outlineLevel="0" collapsed="false">
      <c r="A11" s="6" t="n">
        <v>8</v>
      </c>
      <c r="B11" s="7" t="s">
        <v>40</v>
      </c>
      <c r="C11" s="6" t="s">
        <v>28</v>
      </c>
      <c r="D11" s="6" t="s">
        <v>28</v>
      </c>
      <c r="E11" s="6" t="s">
        <v>28</v>
      </c>
      <c r="F11" s="9" t="s">
        <v>41</v>
      </c>
      <c r="G11" s="10" t="n">
        <v>43000</v>
      </c>
      <c r="H11" s="11" t="n">
        <v>46314</v>
      </c>
      <c r="I11" s="7" t="s">
        <v>42</v>
      </c>
    </row>
    <row r="12" customFormat="false" ht="15" hidden="false" customHeight="false" outlineLevel="0" collapsed="false">
      <c r="A12" s="6" t="n">
        <v>9</v>
      </c>
      <c r="B12" s="7" t="s">
        <v>43</v>
      </c>
      <c r="C12" s="6" t="s">
        <v>44</v>
      </c>
      <c r="D12" s="8" t="s">
        <v>32</v>
      </c>
      <c r="E12" s="8" t="s">
        <v>29</v>
      </c>
      <c r="F12" s="7" t="s">
        <v>45</v>
      </c>
      <c r="G12" s="10" t="n">
        <v>4500</v>
      </c>
      <c r="H12" s="11" t="n">
        <v>46314</v>
      </c>
      <c r="I12" s="9"/>
    </row>
    <row r="13" customFormat="false" ht="15" hidden="false" customHeight="false" outlineLevel="0" collapsed="false">
      <c r="A13" s="6" t="n">
        <v>10</v>
      </c>
      <c r="B13" s="7" t="s">
        <v>46</v>
      </c>
      <c r="C13" s="6" t="s">
        <v>47</v>
      </c>
      <c r="D13" s="8" t="s">
        <v>32</v>
      </c>
      <c r="E13" s="8" t="s">
        <v>29</v>
      </c>
      <c r="F13" s="9" t="s">
        <v>36</v>
      </c>
      <c r="G13" s="10" t="n">
        <v>4700</v>
      </c>
      <c r="H13" s="11" t="n">
        <v>46316</v>
      </c>
      <c r="I13" s="9"/>
    </row>
    <row r="14" customFormat="false" ht="15" hidden="false" customHeight="false" outlineLevel="0" collapsed="false">
      <c r="A14" s="6" t="n">
        <v>11</v>
      </c>
      <c r="B14" s="7" t="s">
        <v>48</v>
      </c>
      <c r="C14" s="6" t="s">
        <v>28</v>
      </c>
      <c r="D14" s="6" t="s">
        <v>28</v>
      </c>
      <c r="E14" s="8" t="s">
        <v>29</v>
      </c>
      <c r="F14" s="9" t="s">
        <v>49</v>
      </c>
      <c r="G14" s="10" t="n">
        <v>22000</v>
      </c>
      <c r="H14" s="11" t="n">
        <v>46315</v>
      </c>
      <c r="I14" s="9"/>
    </row>
    <row r="15" customFormat="false" ht="15" hidden="false" customHeight="false" outlineLevel="0" collapsed="false">
      <c r="A15" s="6" t="n">
        <v>12</v>
      </c>
      <c r="B15" s="7" t="s">
        <v>50</v>
      </c>
      <c r="C15" s="6" t="s">
        <v>28</v>
      </c>
      <c r="D15" s="6" t="s">
        <v>28</v>
      </c>
      <c r="E15" s="8" t="s">
        <v>29</v>
      </c>
      <c r="F15" s="9" t="s">
        <v>49</v>
      </c>
      <c r="G15" s="10" t="n">
        <v>31000</v>
      </c>
      <c r="H15" s="11" t="n">
        <v>46315</v>
      </c>
      <c r="I15" s="9"/>
    </row>
    <row r="16" customFormat="false" ht="15" hidden="false" customHeight="false" outlineLevel="0" collapsed="false">
      <c r="A16" s="6" t="n">
        <v>13</v>
      </c>
      <c r="B16" s="7" t="s">
        <v>51</v>
      </c>
      <c r="C16" s="6" t="s">
        <v>28</v>
      </c>
      <c r="D16" s="8" t="s">
        <v>22</v>
      </c>
      <c r="E16" s="8" t="s">
        <v>23</v>
      </c>
      <c r="F16" s="7" t="s">
        <v>52</v>
      </c>
      <c r="G16" s="10" t="n">
        <v>8500</v>
      </c>
      <c r="H16" s="11" t="n">
        <v>46317</v>
      </c>
      <c r="I16" s="9"/>
    </row>
    <row r="17" customFormat="false" ht="15" hidden="false" customHeight="false" outlineLevel="0" collapsed="false">
      <c r="A17" s="6" t="n">
        <v>14</v>
      </c>
      <c r="B17" s="7" t="s">
        <v>53</v>
      </c>
      <c r="C17" s="6" t="s">
        <v>54</v>
      </c>
      <c r="D17" s="8" t="s">
        <v>55</v>
      </c>
      <c r="E17" s="8" t="s">
        <v>29</v>
      </c>
      <c r="F17" s="9" t="s">
        <v>56</v>
      </c>
      <c r="G17" s="10" t="n">
        <v>9500</v>
      </c>
      <c r="H17" s="11" t="n">
        <v>46316</v>
      </c>
      <c r="I17" s="9"/>
    </row>
    <row r="18" customFormat="false" ht="15" hidden="false" customHeight="false" outlineLevel="0" collapsed="false">
      <c r="A18" s="6" t="n">
        <v>15</v>
      </c>
      <c r="B18" s="7" t="s">
        <v>57</v>
      </c>
      <c r="C18" s="6" t="s">
        <v>28</v>
      </c>
      <c r="D18" s="6" t="s">
        <v>28</v>
      </c>
      <c r="E18" s="8" t="s">
        <v>29</v>
      </c>
      <c r="F18" s="9" t="s">
        <v>49</v>
      </c>
      <c r="G18" s="10" t="n">
        <v>2400</v>
      </c>
      <c r="H18" s="11" t="n">
        <v>46316</v>
      </c>
      <c r="I18" s="9" t="s">
        <v>58</v>
      </c>
    </row>
    <row r="19" customFormat="false" ht="15" hidden="false" customHeight="false" outlineLevel="0" collapsed="false">
      <c r="A19" s="6" t="n">
        <v>16</v>
      </c>
      <c r="B19" s="7" t="s">
        <v>59</v>
      </c>
      <c r="C19" s="6" t="s">
        <v>28</v>
      </c>
      <c r="D19" s="6" t="s">
        <v>28</v>
      </c>
      <c r="E19" s="8" t="s">
        <v>23</v>
      </c>
      <c r="F19" s="9" t="s">
        <v>60</v>
      </c>
      <c r="G19" s="10" t="n">
        <v>7500</v>
      </c>
      <c r="H19" s="11" t="n">
        <v>46316</v>
      </c>
      <c r="I19" s="9"/>
    </row>
    <row r="20" customFormat="false" ht="15" hidden="false" customHeight="false" outlineLevel="0" collapsed="false">
      <c r="A20" s="6" t="n">
        <v>17</v>
      </c>
      <c r="B20" s="7" t="s">
        <v>61</v>
      </c>
      <c r="C20" s="6" t="s">
        <v>47</v>
      </c>
      <c r="D20" s="8" t="s">
        <v>32</v>
      </c>
      <c r="E20" s="8" t="s">
        <v>23</v>
      </c>
      <c r="F20" s="9" t="s">
        <v>62</v>
      </c>
      <c r="G20" s="10" t="n">
        <v>39000</v>
      </c>
      <c r="H20" s="11" t="n">
        <v>46316</v>
      </c>
      <c r="I20" s="9"/>
    </row>
    <row r="21" customFormat="false" ht="15" hidden="false" customHeight="false" outlineLevel="0" collapsed="false">
      <c r="A21" s="6" t="n">
        <v>18</v>
      </c>
      <c r="B21" s="7" t="s">
        <v>63</v>
      </c>
      <c r="C21" s="6" t="s">
        <v>28</v>
      </c>
      <c r="D21" s="8" t="s">
        <v>64</v>
      </c>
      <c r="E21" s="8" t="s">
        <v>29</v>
      </c>
      <c r="F21" s="9" t="s">
        <v>65</v>
      </c>
      <c r="G21" s="10" t="n">
        <v>1950</v>
      </c>
      <c r="H21" s="11" t="n">
        <v>46317</v>
      </c>
      <c r="I21" s="9"/>
    </row>
    <row r="22" customFormat="false" ht="15" hidden="false" customHeight="false" outlineLevel="0" collapsed="false">
      <c r="A22" s="6" t="n">
        <v>19</v>
      </c>
      <c r="B22" s="7" t="s">
        <v>66</v>
      </c>
      <c r="C22" s="6" t="s">
        <v>67</v>
      </c>
      <c r="D22" s="8" t="s">
        <v>55</v>
      </c>
      <c r="E22" s="8" t="s">
        <v>29</v>
      </c>
      <c r="F22" s="7" t="s">
        <v>68</v>
      </c>
      <c r="G22" s="10" t="n">
        <v>24000</v>
      </c>
      <c r="H22" s="11" t="n">
        <v>46317</v>
      </c>
      <c r="I22" s="9"/>
    </row>
    <row r="25" customFormat="false" ht="15" hidden="false" customHeight="false" outlineLevel="0" collapsed="false">
      <c r="A25" s="1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6"/>
  </cols>
  <sheetData>
    <row r="1" customFormat="false" ht="19.4" hidden="false" customHeight="false" outlineLevel="0" collapsed="false">
      <c r="A1" s="1" t="s">
        <v>70</v>
      </c>
    </row>
    <row r="3" customFormat="false" ht="15" hidden="false" customHeight="false" outlineLevel="0" collapsed="false">
      <c r="A3" s="3" t="s">
        <v>71</v>
      </c>
      <c r="C3" s="13" t="n">
        <v>0.15</v>
      </c>
      <c r="D3" s="12" t="s">
        <v>72</v>
      </c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</row>
    <row r="6" customFormat="false" ht="15" hidden="false" customHeight="false" outlineLevel="0" collapsed="false">
      <c r="A6" s="9" t="str">
        <f aca="false">기준단가!B4</f>
        <v>돈목살(성산한방)</v>
      </c>
      <c r="B6" s="6" t="str">
        <f aca="false">기준단가!C4</f>
        <v>성산</v>
      </c>
      <c r="C6" s="6" t="str">
        <f aca="false">기준단가!D4</f>
        <v>국내산</v>
      </c>
      <c r="D6" s="6" t="str">
        <f aca="false">기준단가!E4</f>
        <v>냉장</v>
      </c>
      <c r="E6" s="14" t="n">
        <f aca="false">기준단가!G4</f>
        <v>18000</v>
      </c>
      <c r="F6" s="15"/>
      <c r="G6" s="15"/>
      <c r="H6" s="14" t="str">
        <f aca="false">IF(COUNT(F6:G6)=0,"",AVERAGE(F6:G6))</f>
        <v/>
      </c>
      <c r="I6" s="14" t="n">
        <f aca="false">ROUND(E6*(1+$C$3),-1)</f>
        <v>20700</v>
      </c>
      <c r="J6" s="16" t="str">
        <f aca="false">IF(H6="","",I6/H6-1)</f>
        <v/>
      </c>
      <c r="K6" s="17"/>
      <c r="L6" s="14" t="str">
        <f aca="false">IF(K6="","",K6*I6)</f>
        <v/>
      </c>
      <c r="M6" s="17"/>
    </row>
    <row r="7" customFormat="false" ht="15" hidden="false" customHeight="false" outlineLevel="0" collapsed="false">
      <c r="A7" s="9" t="str">
        <f aca="false">기준단가!B5</f>
        <v>돈미박삼겹살</v>
      </c>
      <c r="B7" s="6" t="str">
        <f aca="false">기준단가!C5</f>
        <v>성산</v>
      </c>
      <c r="C7" s="6" t="str">
        <f aca="false">기준단가!D5</f>
        <v>국내산</v>
      </c>
      <c r="D7" s="6" t="str">
        <f aca="false">기준단가!E5</f>
        <v>냉장</v>
      </c>
      <c r="E7" s="14" t="n">
        <f aca="false">기준단가!G5</f>
        <v>18000</v>
      </c>
      <c r="F7" s="15"/>
      <c r="G7" s="15"/>
      <c r="H7" s="14" t="str">
        <f aca="false">IF(COUNT(F7:G7)=0,"",AVERAGE(F7:G7))</f>
        <v/>
      </c>
      <c r="I7" s="14" t="n">
        <f aca="false">ROUND(E7*(1+$C$3),-1)</f>
        <v>20700</v>
      </c>
      <c r="J7" s="16" t="str">
        <f aca="false">IF(H7="","",I7/H7-1)</f>
        <v/>
      </c>
      <c r="K7" s="17"/>
      <c r="L7" s="14" t="str">
        <f aca="false">IF(K7="","",K7*I7)</f>
        <v/>
      </c>
      <c r="M7" s="17"/>
    </row>
    <row r="8" customFormat="false" ht="15" hidden="false" customHeight="false" outlineLevel="0" collapsed="false">
      <c r="A8" s="9" t="str">
        <f aca="false">기준단가!B6</f>
        <v>돈삼겹살</v>
      </c>
      <c r="B8" s="6" t="str">
        <f aca="false">기준단가!C6</f>
        <v>성산</v>
      </c>
      <c r="C8" s="6" t="str">
        <f aca="false">기준단가!D6</f>
        <v>국내산</v>
      </c>
      <c r="D8" s="6" t="str">
        <f aca="false">기준단가!E6</f>
        <v>냉장</v>
      </c>
      <c r="E8" s="14" t="n">
        <f aca="false">기준단가!G6</f>
        <v>18500</v>
      </c>
      <c r="F8" s="15"/>
      <c r="G8" s="15"/>
      <c r="H8" s="14" t="str">
        <f aca="false">IF(COUNT(F8:G8)=0,"",AVERAGE(F8:G8))</f>
        <v/>
      </c>
      <c r="I8" s="14" t="n">
        <f aca="false">ROUND(E8*(1+$C$3),-1)</f>
        <v>21280</v>
      </c>
      <c r="J8" s="16" t="str">
        <f aca="false">IF(H8="","",I8/H8-1)</f>
        <v/>
      </c>
      <c r="K8" s="17"/>
      <c r="L8" s="14" t="str">
        <f aca="false">IF(K8="","",K8*I8)</f>
        <v/>
      </c>
      <c r="M8" s="17"/>
    </row>
    <row r="9" customFormat="false" ht="15" hidden="false" customHeight="false" outlineLevel="0" collapsed="false">
      <c r="A9" s="9" t="str">
        <f aca="false">기준단가!B7</f>
        <v>오즈갈비</v>
      </c>
      <c r="B9" s="6" t="str">
        <f aca="false">기준단가!C7</f>
        <v>-</v>
      </c>
      <c r="C9" s="6" t="str">
        <f aca="false">기준단가!D7</f>
        <v>-</v>
      </c>
      <c r="D9" s="6" t="str">
        <f aca="false">기준단가!E7</f>
        <v>냉동</v>
      </c>
      <c r="E9" s="14" t="n">
        <f aca="false">기준단가!G7</f>
        <v>10000</v>
      </c>
      <c r="F9" s="15"/>
      <c r="G9" s="15"/>
      <c r="H9" s="14" t="str">
        <f aca="false">IF(COUNT(F9:G9)=0,"",AVERAGE(F9:G9))</f>
        <v/>
      </c>
      <c r="I9" s="14" t="n">
        <f aca="false">ROUND(E9*(1+$C$3),-1)</f>
        <v>11500</v>
      </c>
      <c r="J9" s="16" t="str">
        <f aca="false">IF(H9="","",I9/H9-1)</f>
        <v/>
      </c>
      <c r="K9" s="17"/>
      <c r="L9" s="14" t="str">
        <f aca="false">IF(K9="","",K9*I9)</f>
        <v/>
      </c>
      <c r="M9" s="17"/>
    </row>
    <row r="10" customFormat="false" ht="15" hidden="false" customHeight="false" outlineLevel="0" collapsed="false">
      <c r="A10" s="9" t="str">
        <f aca="false">기준단가!B8</f>
        <v>우볼살</v>
      </c>
      <c r="B10" s="6" t="str">
        <f aca="false">기준단가!C8</f>
        <v>KILCOY</v>
      </c>
      <c r="C10" s="6" t="str">
        <f aca="false">기준단가!D8</f>
        <v>호주산</v>
      </c>
      <c r="D10" s="6" t="str">
        <f aca="false">기준단가!E8</f>
        <v>냉동</v>
      </c>
      <c r="E10" s="14" t="n">
        <f aca="false">기준단가!G8</f>
        <v>14000</v>
      </c>
      <c r="F10" s="15"/>
      <c r="G10" s="15"/>
      <c r="H10" s="14" t="str">
        <f aca="false">IF(COUNT(F10:G10)=0,"",AVERAGE(F10:G10))</f>
        <v/>
      </c>
      <c r="I10" s="14" t="n">
        <f aca="false">ROUND(E10*(1+$C$3),-1)</f>
        <v>16100</v>
      </c>
      <c r="J10" s="16" t="str">
        <f aca="false">IF(H10="","",I10/H10-1)</f>
        <v/>
      </c>
      <c r="K10" s="17"/>
      <c r="L10" s="14" t="str">
        <f aca="false">IF(K10="","",K10*I10)</f>
        <v/>
      </c>
      <c r="M10" s="17"/>
    </row>
    <row r="11" customFormat="false" ht="15" hidden="false" customHeight="false" outlineLevel="0" collapsed="false">
      <c r="A11" s="9" t="str">
        <f aca="false">기준단가!B9</f>
        <v>우볼살(작업)</v>
      </c>
      <c r="B11" s="6" t="str">
        <f aca="false">기준단가!C9</f>
        <v>AMH</v>
      </c>
      <c r="C11" s="6" t="str">
        <f aca="false">기준단가!D9</f>
        <v>호주산</v>
      </c>
      <c r="D11" s="6" t="str">
        <f aca="false">기준단가!E9</f>
        <v>냉동</v>
      </c>
      <c r="E11" s="14" t="n">
        <f aca="false">기준단가!G9</f>
        <v>11000</v>
      </c>
      <c r="F11" s="15"/>
      <c r="G11" s="15"/>
      <c r="H11" s="14" t="str">
        <f aca="false">IF(COUNT(F11:G11)=0,"",AVERAGE(F11:G11))</f>
        <v/>
      </c>
      <c r="I11" s="14" t="n">
        <f aca="false">ROUND(E11*(1+$C$3),-1)</f>
        <v>12650</v>
      </c>
      <c r="J11" s="16" t="str">
        <f aca="false">IF(H11="","",I11/H11-1)</f>
        <v/>
      </c>
      <c r="K11" s="17"/>
      <c r="L11" s="14" t="str">
        <f aca="false">IF(K11="","",K11*I11)</f>
        <v/>
      </c>
      <c r="M11" s="17"/>
    </row>
    <row r="12" customFormat="false" ht="15" hidden="false" customHeight="false" outlineLevel="0" collapsed="false">
      <c r="A12" s="9" t="str">
        <f aca="false">기준단가!B10</f>
        <v>돈삼겹살</v>
      </c>
      <c r="B12" s="6" t="str">
        <f aca="false">기준단가!C10</f>
        <v>MARCHER</v>
      </c>
      <c r="C12" s="6" t="str">
        <f aca="false">기준단가!D10</f>
        <v>오스트리아</v>
      </c>
      <c r="D12" s="6" t="str">
        <f aca="false">기준단가!E10</f>
        <v>냉동</v>
      </c>
      <c r="E12" s="14" t="n">
        <f aca="false">기준단가!G10</f>
        <v>6000</v>
      </c>
      <c r="F12" s="15"/>
      <c r="G12" s="15"/>
      <c r="H12" s="14" t="str">
        <f aca="false">IF(COUNT(F12:G12)=0,"",AVERAGE(F12:G12))</f>
        <v/>
      </c>
      <c r="I12" s="14" t="n">
        <f aca="false">ROUND(E12*(1+$C$3),-1)</f>
        <v>6900</v>
      </c>
      <c r="J12" s="16" t="str">
        <f aca="false">IF(H12="","",I12/H12-1)</f>
        <v/>
      </c>
      <c r="K12" s="17"/>
      <c r="L12" s="14" t="str">
        <f aca="false">IF(K12="","",K12*I12)</f>
        <v/>
      </c>
      <c r="M12" s="17"/>
    </row>
    <row r="13" customFormat="false" ht="15" hidden="false" customHeight="false" outlineLevel="0" collapsed="false">
      <c r="A13" s="9" t="str">
        <f aca="false">기준단가!B11</f>
        <v>와규등심</v>
      </c>
      <c r="B13" s="6" t="str">
        <f aca="false">기준단가!C11</f>
        <v>-</v>
      </c>
      <c r="C13" s="6" t="str">
        <f aca="false">기준단가!D11</f>
        <v>-</v>
      </c>
      <c r="D13" s="6" t="str">
        <f aca="false">기준단가!E11</f>
        <v>-</v>
      </c>
      <c r="E13" s="14" t="n">
        <f aca="false">기준단가!G11</f>
        <v>43000</v>
      </c>
      <c r="F13" s="15"/>
      <c r="G13" s="15"/>
      <c r="H13" s="14" t="str">
        <f aca="false">IF(COUNT(F13:G13)=0,"",AVERAGE(F13:G13))</f>
        <v/>
      </c>
      <c r="I13" s="14" t="n">
        <f aca="false">ROUND(E13*(1+$C$3),-1)</f>
        <v>49450</v>
      </c>
      <c r="J13" s="16" t="str">
        <f aca="false">IF(H13="","",I13/H13-1)</f>
        <v/>
      </c>
      <c r="K13" s="17"/>
      <c r="L13" s="14" t="str">
        <f aca="false">IF(K13="","",K13*I13)</f>
        <v/>
      </c>
      <c r="M13" s="17"/>
    </row>
    <row r="14" customFormat="false" ht="15" hidden="false" customHeight="false" outlineLevel="0" collapsed="false">
      <c r="A14" s="9" t="str">
        <f aca="false">기준단가!B12</f>
        <v>우곱창(곡물)</v>
      </c>
      <c r="B14" s="6" t="str">
        <f aca="false">기준단가!C12</f>
        <v>OAKEY</v>
      </c>
      <c r="C14" s="6" t="str">
        <f aca="false">기준단가!D12</f>
        <v>호주산</v>
      </c>
      <c r="D14" s="6" t="str">
        <f aca="false">기준단가!E12</f>
        <v>냉동</v>
      </c>
      <c r="E14" s="14" t="n">
        <f aca="false">기준단가!G12</f>
        <v>4500</v>
      </c>
      <c r="F14" s="15"/>
      <c r="G14" s="15"/>
      <c r="H14" s="14" t="str">
        <f aca="false">IF(COUNT(F14:G14)=0,"",AVERAGE(F14:G14))</f>
        <v/>
      </c>
      <c r="I14" s="14" t="n">
        <f aca="false">ROUND(E14*(1+$C$3),-1)</f>
        <v>5180</v>
      </c>
      <c r="J14" s="16" t="str">
        <f aca="false">IF(H14="","",I14/H14-1)</f>
        <v/>
      </c>
      <c r="K14" s="17"/>
      <c r="L14" s="14" t="str">
        <f aca="false">IF(K14="","",K14*I14)</f>
        <v/>
      </c>
      <c r="M14" s="17"/>
    </row>
    <row r="15" customFormat="false" ht="15" hidden="false" customHeight="false" outlineLevel="0" collapsed="false">
      <c r="A15" s="9" t="str">
        <f aca="false">기준단가!B13</f>
        <v>우깐양</v>
      </c>
      <c r="B15" s="6" t="str">
        <f aca="false">기준단가!C13</f>
        <v>TEYS</v>
      </c>
      <c r="C15" s="6" t="str">
        <f aca="false">기준단가!D13</f>
        <v>호주산</v>
      </c>
      <c r="D15" s="6" t="str">
        <f aca="false">기준단가!E13</f>
        <v>냉동</v>
      </c>
      <c r="E15" s="14" t="n">
        <f aca="false">기준단가!G13</f>
        <v>4700</v>
      </c>
      <c r="F15" s="15"/>
      <c r="G15" s="15"/>
      <c r="H15" s="14" t="str">
        <f aca="false">IF(COUNT(F15:G15)=0,"",AVERAGE(F15:G15))</f>
        <v/>
      </c>
      <c r="I15" s="14" t="n">
        <f aca="false">ROUND(E15*(1+$C$3),-1)</f>
        <v>5410</v>
      </c>
      <c r="J15" s="16" t="str">
        <f aca="false">IF(H15="","",I15/H15-1)</f>
        <v/>
      </c>
      <c r="K15" s="17"/>
      <c r="L15" s="14" t="str">
        <f aca="false">IF(K15="","",K15*I15)</f>
        <v/>
      </c>
      <c r="M15" s="17"/>
    </row>
    <row r="16" customFormat="false" ht="15" hidden="false" customHeight="false" outlineLevel="0" collapsed="false">
      <c r="A16" s="9" t="str">
        <f aca="false">기준단가!B14</f>
        <v>돈가브리살</v>
      </c>
      <c r="B16" s="6" t="str">
        <f aca="false">기준단가!C14</f>
        <v>-</v>
      </c>
      <c r="C16" s="6" t="str">
        <f aca="false">기준단가!D14</f>
        <v>-</v>
      </c>
      <c r="D16" s="6" t="str">
        <f aca="false">기준단가!E14</f>
        <v>냉동</v>
      </c>
      <c r="E16" s="14" t="n">
        <f aca="false">기준단가!G14</f>
        <v>22000</v>
      </c>
      <c r="F16" s="15"/>
      <c r="G16" s="15"/>
      <c r="H16" s="14" t="str">
        <f aca="false">IF(COUNT(F16:G16)=0,"",AVERAGE(F16:G16))</f>
        <v/>
      </c>
      <c r="I16" s="14" t="n">
        <f aca="false">ROUND(E16*(1+$C$3),-1)</f>
        <v>25300</v>
      </c>
      <c r="J16" s="16" t="str">
        <f aca="false">IF(H16="","",I16/H16-1)</f>
        <v/>
      </c>
      <c r="K16" s="17"/>
      <c r="L16" s="14" t="str">
        <f aca="false">IF(K16="","",K16*I16)</f>
        <v/>
      </c>
      <c r="M16" s="17"/>
    </row>
    <row r="17" customFormat="false" ht="15" hidden="false" customHeight="false" outlineLevel="0" collapsed="false">
      <c r="A17" s="9" t="str">
        <f aca="false">기준단가!B15</f>
        <v>돈항정살</v>
      </c>
      <c r="B17" s="6" t="str">
        <f aca="false">기준단가!C15</f>
        <v>-</v>
      </c>
      <c r="C17" s="6" t="str">
        <f aca="false">기준단가!D15</f>
        <v>-</v>
      </c>
      <c r="D17" s="6" t="str">
        <f aca="false">기준단가!E15</f>
        <v>냉동</v>
      </c>
      <c r="E17" s="14" t="n">
        <f aca="false">기준단가!G15</f>
        <v>31000</v>
      </c>
      <c r="F17" s="15"/>
      <c r="G17" s="15"/>
      <c r="H17" s="14" t="str">
        <f aca="false">IF(COUNT(F17:G17)=0,"",AVERAGE(F17:G17))</f>
        <v/>
      </c>
      <c r="I17" s="14" t="n">
        <f aca="false">ROUND(E17*(1+$C$3),-1)</f>
        <v>35650</v>
      </c>
      <c r="J17" s="16" t="str">
        <f aca="false">IF(H17="","",I17/H17-1)</f>
        <v/>
      </c>
      <c r="K17" s="17"/>
      <c r="L17" s="14" t="str">
        <f aca="false">IF(K17="","",K17*I17)</f>
        <v/>
      </c>
      <c r="M17" s="17"/>
    </row>
    <row r="18" customFormat="false" ht="15" hidden="false" customHeight="false" outlineLevel="0" collapsed="false">
      <c r="A18" s="9" t="str">
        <f aca="false">기준단가!B16</f>
        <v>돈미사태</v>
      </c>
      <c r="B18" s="6" t="str">
        <f aca="false">기준단가!C16</f>
        <v>-</v>
      </c>
      <c r="C18" s="6" t="str">
        <f aca="false">기준단가!D16</f>
        <v>국내산</v>
      </c>
      <c r="D18" s="6" t="str">
        <f aca="false">기준단가!E16</f>
        <v>냉장</v>
      </c>
      <c r="E18" s="14" t="n">
        <f aca="false">기준단가!G16</f>
        <v>8500</v>
      </c>
      <c r="F18" s="15"/>
      <c r="G18" s="15"/>
      <c r="H18" s="14" t="str">
        <f aca="false">IF(COUNT(F18:G18)=0,"",AVERAGE(F18:G18))</f>
        <v/>
      </c>
      <c r="I18" s="14" t="n">
        <f aca="false">ROUND(E18*(1+$C$3),-1)</f>
        <v>9780</v>
      </c>
      <c r="J18" s="16" t="str">
        <f aca="false">IF(H18="","",I18/H18-1)</f>
        <v/>
      </c>
      <c r="K18" s="17"/>
      <c r="L18" s="14" t="str">
        <f aca="false">IF(K18="","",K18*I18)</f>
        <v/>
      </c>
      <c r="M18" s="17"/>
    </row>
    <row r="19" customFormat="false" ht="15" hidden="false" customHeight="false" outlineLevel="0" collapsed="false">
      <c r="A19" s="9" t="str">
        <f aca="false">기준단가!B17</f>
        <v>우삼겹양지</v>
      </c>
      <c r="B19" s="6" t="str">
        <f aca="false">기준단가!C17</f>
        <v>IBP</v>
      </c>
      <c r="C19" s="6" t="str">
        <f aca="false">기준단가!D17</f>
        <v>미국산</v>
      </c>
      <c r="D19" s="6" t="str">
        <f aca="false">기준단가!E17</f>
        <v>냉동</v>
      </c>
      <c r="E19" s="14" t="n">
        <f aca="false">기준단가!G17</f>
        <v>9500</v>
      </c>
      <c r="F19" s="15"/>
      <c r="G19" s="15"/>
      <c r="H19" s="14" t="str">
        <f aca="false">IF(COUNT(F19:G19)=0,"",AVERAGE(F19:G19))</f>
        <v/>
      </c>
      <c r="I19" s="14" t="n">
        <f aca="false">ROUND(E19*(1+$C$3),-1)</f>
        <v>10930</v>
      </c>
      <c r="J19" s="16" t="str">
        <f aca="false">IF(H19="","",I19/H19-1)</f>
        <v/>
      </c>
      <c r="K19" s="17"/>
      <c r="L19" s="14" t="str">
        <f aca="false">IF(K19="","",K19*I19)</f>
        <v/>
      </c>
      <c r="M19" s="17"/>
    </row>
    <row r="20" customFormat="false" ht="15" hidden="false" customHeight="false" outlineLevel="0" collapsed="false">
      <c r="A20" s="9" t="str">
        <f aca="false">기준단가!B18</f>
        <v>돈A지방</v>
      </c>
      <c r="B20" s="6" t="str">
        <f aca="false">기준단가!C18</f>
        <v>-</v>
      </c>
      <c r="C20" s="6" t="str">
        <f aca="false">기준단가!D18</f>
        <v>-</v>
      </c>
      <c r="D20" s="6" t="str">
        <f aca="false">기준단가!E18</f>
        <v>냉동</v>
      </c>
      <c r="E20" s="14" t="n">
        <f aca="false">기준단가!G18</f>
        <v>2400</v>
      </c>
      <c r="F20" s="15"/>
      <c r="G20" s="15"/>
      <c r="H20" s="14" t="str">
        <f aca="false">IF(COUNT(F20:G20)=0,"",AVERAGE(F20:G20))</f>
        <v/>
      </c>
      <c r="I20" s="14" t="n">
        <f aca="false">ROUND(E20*(1+$C$3),-1)</f>
        <v>2760</v>
      </c>
      <c r="J20" s="16" t="str">
        <f aca="false">IF(H20="","",I20/H20-1)</f>
        <v/>
      </c>
      <c r="K20" s="17"/>
      <c r="L20" s="14" t="str">
        <f aca="false">IF(K20="","",K20*I20)</f>
        <v/>
      </c>
      <c r="M20" s="17"/>
    </row>
    <row r="21" customFormat="false" ht="15" hidden="false" customHeight="false" outlineLevel="0" collapsed="false">
      <c r="A21" s="9" t="str">
        <f aca="false">기준단가!B19</f>
        <v>돈갈비</v>
      </c>
      <c r="B21" s="6" t="str">
        <f aca="false">기준단가!C19</f>
        <v>-</v>
      </c>
      <c r="C21" s="6" t="str">
        <f aca="false">기준단가!D19</f>
        <v>-</v>
      </c>
      <c r="D21" s="6" t="str">
        <f aca="false">기준단가!E19</f>
        <v>냉장</v>
      </c>
      <c r="E21" s="14" t="n">
        <f aca="false">기준단가!G19</f>
        <v>7500</v>
      </c>
      <c r="F21" s="15"/>
      <c r="G21" s="15"/>
      <c r="H21" s="14" t="str">
        <f aca="false">IF(COUNT(F21:G21)=0,"",AVERAGE(F21:G21))</f>
        <v/>
      </c>
      <c r="I21" s="14" t="n">
        <f aca="false">ROUND(E21*(1+$C$3),-1)</f>
        <v>8630</v>
      </c>
      <c r="J21" s="16" t="str">
        <f aca="false">IF(H21="","",I21/H21-1)</f>
        <v/>
      </c>
      <c r="K21" s="17"/>
      <c r="L21" s="14" t="str">
        <f aca="false">IF(K21="","",K21*I21)</f>
        <v/>
      </c>
      <c r="M21" s="17"/>
    </row>
    <row r="22" customFormat="false" ht="15" hidden="false" customHeight="false" outlineLevel="0" collapsed="false">
      <c r="A22" s="9" t="str">
        <f aca="false">기준단가!B20</f>
        <v>우안심살(A)</v>
      </c>
      <c r="B22" s="6" t="str">
        <f aca="false">기준단가!C20</f>
        <v>TEYS</v>
      </c>
      <c r="C22" s="6" t="str">
        <f aca="false">기준단가!D20</f>
        <v>호주산</v>
      </c>
      <c r="D22" s="6" t="str">
        <f aca="false">기준단가!E20</f>
        <v>냉장</v>
      </c>
      <c r="E22" s="14" t="n">
        <f aca="false">기준단가!G20</f>
        <v>39000</v>
      </c>
      <c r="F22" s="15"/>
      <c r="G22" s="15"/>
      <c r="H22" s="14" t="str">
        <f aca="false">IF(COUNT(F22:G22)=0,"",AVERAGE(F22:G22))</f>
        <v/>
      </c>
      <c r="I22" s="14" t="n">
        <f aca="false">ROUND(E22*(1+$C$3),-1)</f>
        <v>44850</v>
      </c>
      <c r="J22" s="16" t="str">
        <f aca="false">IF(H22="","",I22/H22-1)</f>
        <v/>
      </c>
      <c r="K22" s="17"/>
      <c r="L22" s="14" t="str">
        <f aca="false">IF(K22="","",K22*I22)</f>
        <v/>
      </c>
      <c r="M22" s="17"/>
    </row>
    <row r="23" customFormat="false" ht="15" hidden="false" customHeight="false" outlineLevel="0" collapsed="false">
      <c r="A23" s="9" t="str">
        <f aca="false">기준단가!B21</f>
        <v>돈뽀(메이플)</v>
      </c>
      <c r="B23" s="6" t="str">
        <f aca="false">기준단가!C21</f>
        <v>-</v>
      </c>
      <c r="C23" s="6" t="str">
        <f aca="false">기준단가!D21</f>
        <v>캐나다산</v>
      </c>
      <c r="D23" s="6" t="str">
        <f aca="false">기준단가!E21</f>
        <v>냉동</v>
      </c>
      <c r="E23" s="14" t="n">
        <f aca="false">기준단가!G21</f>
        <v>1950</v>
      </c>
      <c r="F23" s="15"/>
      <c r="G23" s="15"/>
      <c r="H23" s="14" t="str">
        <f aca="false">IF(COUNT(F23:G23)=0,"",AVERAGE(F23:G23))</f>
        <v/>
      </c>
      <c r="I23" s="14" t="n">
        <f aca="false">ROUND(E23*(1+$C$3),-1)</f>
        <v>2240</v>
      </c>
      <c r="J23" s="16" t="str">
        <f aca="false">IF(H23="","",I23/H23-1)</f>
        <v/>
      </c>
      <c r="K23" s="17"/>
      <c r="L23" s="14" t="str">
        <f aca="false">IF(K23="","",K23*I23)</f>
        <v/>
      </c>
      <c r="M23" s="17"/>
    </row>
    <row r="24" customFormat="false" ht="15" hidden="false" customHeight="false" outlineLevel="0" collapsed="false">
      <c r="A24" s="9" t="str">
        <f aca="false">기준단가!B22</f>
        <v>우차돌박이</v>
      </c>
      <c r="B24" s="6" t="str">
        <f aca="false">기준단가!C22</f>
        <v>EXCEL</v>
      </c>
      <c r="C24" s="6" t="str">
        <f aca="false">기준단가!D22</f>
        <v>미국산</v>
      </c>
      <c r="D24" s="6" t="str">
        <f aca="false">기준단가!E22</f>
        <v>냉동</v>
      </c>
      <c r="E24" s="14" t="n">
        <f aca="false">기준단가!G22</f>
        <v>24000</v>
      </c>
      <c r="F24" s="15"/>
      <c r="G24" s="15"/>
      <c r="H24" s="14" t="str">
        <f aca="false">IF(COUNT(F24:G24)=0,"",AVERAGE(F24:G24))</f>
        <v/>
      </c>
      <c r="I24" s="14" t="n">
        <f aca="false">ROUND(E24*(1+$C$3),-1)</f>
        <v>27600</v>
      </c>
      <c r="J24" s="16" t="str">
        <f aca="false">IF(H24="","",I24/H24-1)</f>
        <v/>
      </c>
      <c r="K24" s="17"/>
      <c r="L24" s="14" t="str">
        <f aca="false">IF(K24="","",K24*I24)</f>
        <v/>
      </c>
      <c r="M24" s="17"/>
    </row>
    <row r="26" customFormat="false" ht="15" hidden="false" customHeight="false" outlineLevel="0" collapsed="false">
      <c r="A26" s="3" t="s">
        <v>82</v>
      </c>
      <c r="L26" s="18" t="n">
        <f aca="false">SUM(L6:L24)</f>
        <v>0</v>
      </c>
    </row>
    <row r="28" customFormat="false" ht="15" hidden="false" customHeight="false" outlineLevel="0" collapsed="false">
      <c r="A28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6"/>
  </cols>
  <sheetData>
    <row r="1" customFormat="false" ht="19.4" hidden="false" customHeight="false" outlineLevel="0" collapsed="false">
      <c r="A1" s="1" t="s">
        <v>84</v>
      </c>
    </row>
    <row r="3" customFormat="false" ht="15" hidden="false" customHeight="false" outlineLevel="0" collapsed="false">
      <c r="A3" s="3" t="s">
        <v>71</v>
      </c>
      <c r="C3" s="13" t="n">
        <v>0.15</v>
      </c>
      <c r="D3" s="12" t="s">
        <v>72</v>
      </c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</row>
    <row r="6" customFormat="false" ht="15" hidden="false" customHeight="false" outlineLevel="0" collapsed="false">
      <c r="A6" s="9" t="str">
        <f aca="false">기준단가!B4</f>
        <v>돈목살(성산한방)</v>
      </c>
      <c r="B6" s="6" t="str">
        <f aca="false">기준단가!C4</f>
        <v>성산</v>
      </c>
      <c r="C6" s="6" t="str">
        <f aca="false">기준단가!D4</f>
        <v>국내산</v>
      </c>
      <c r="D6" s="6" t="str">
        <f aca="false">기준단가!E4</f>
        <v>냉장</v>
      </c>
      <c r="E6" s="14" t="n">
        <f aca="false">기준단가!G4</f>
        <v>18000</v>
      </c>
      <c r="F6" s="15"/>
      <c r="G6" s="15"/>
      <c r="H6" s="14" t="str">
        <f aca="false">IF(COUNT(F6:G6)=0,"",AVERAGE(F6:G6))</f>
        <v/>
      </c>
      <c r="I6" s="14" t="n">
        <f aca="false">ROUND(E6*(1+$C$3),-1)</f>
        <v>20700</v>
      </c>
      <c r="J6" s="16" t="str">
        <f aca="false">IF(H6="","",I6/H6-1)</f>
        <v/>
      </c>
      <c r="K6" s="17"/>
      <c r="L6" s="14" t="str">
        <f aca="false">IF(K6="","",K6*I6)</f>
        <v/>
      </c>
      <c r="M6" s="17"/>
    </row>
    <row r="7" customFormat="false" ht="15" hidden="false" customHeight="false" outlineLevel="0" collapsed="false">
      <c r="A7" s="9" t="str">
        <f aca="false">기준단가!B5</f>
        <v>돈미박삼겹살</v>
      </c>
      <c r="B7" s="6" t="str">
        <f aca="false">기준단가!C5</f>
        <v>성산</v>
      </c>
      <c r="C7" s="6" t="str">
        <f aca="false">기준단가!D5</f>
        <v>국내산</v>
      </c>
      <c r="D7" s="6" t="str">
        <f aca="false">기준단가!E5</f>
        <v>냉장</v>
      </c>
      <c r="E7" s="14" t="n">
        <f aca="false">기준단가!G5</f>
        <v>18000</v>
      </c>
      <c r="F7" s="15"/>
      <c r="G7" s="15"/>
      <c r="H7" s="14" t="str">
        <f aca="false">IF(COUNT(F7:G7)=0,"",AVERAGE(F7:G7))</f>
        <v/>
      </c>
      <c r="I7" s="14" t="n">
        <f aca="false">ROUND(E7*(1+$C$3),-1)</f>
        <v>20700</v>
      </c>
      <c r="J7" s="16" t="str">
        <f aca="false">IF(H7="","",I7/H7-1)</f>
        <v/>
      </c>
      <c r="K7" s="17"/>
      <c r="L7" s="14" t="str">
        <f aca="false">IF(K7="","",K7*I7)</f>
        <v/>
      </c>
      <c r="M7" s="17"/>
    </row>
    <row r="8" customFormat="false" ht="15" hidden="false" customHeight="false" outlineLevel="0" collapsed="false">
      <c r="A8" s="9" t="str">
        <f aca="false">기준단가!B6</f>
        <v>돈삼겹살</v>
      </c>
      <c r="B8" s="6" t="str">
        <f aca="false">기준단가!C6</f>
        <v>성산</v>
      </c>
      <c r="C8" s="6" t="str">
        <f aca="false">기준단가!D6</f>
        <v>국내산</v>
      </c>
      <c r="D8" s="6" t="str">
        <f aca="false">기준단가!E6</f>
        <v>냉장</v>
      </c>
      <c r="E8" s="14" t="n">
        <f aca="false">기준단가!G6</f>
        <v>18500</v>
      </c>
      <c r="F8" s="15"/>
      <c r="G8" s="15"/>
      <c r="H8" s="14" t="str">
        <f aca="false">IF(COUNT(F8:G8)=0,"",AVERAGE(F8:G8))</f>
        <v/>
      </c>
      <c r="I8" s="14" t="n">
        <f aca="false">ROUND(E8*(1+$C$3),-1)</f>
        <v>21280</v>
      </c>
      <c r="J8" s="16" t="str">
        <f aca="false">IF(H8="","",I8/H8-1)</f>
        <v/>
      </c>
      <c r="K8" s="17"/>
      <c r="L8" s="14" t="str">
        <f aca="false">IF(K8="","",K8*I8)</f>
        <v/>
      </c>
      <c r="M8" s="17"/>
    </row>
    <row r="9" customFormat="false" ht="15" hidden="false" customHeight="false" outlineLevel="0" collapsed="false">
      <c r="A9" s="9" t="str">
        <f aca="false">기준단가!B7</f>
        <v>오즈갈비</v>
      </c>
      <c r="B9" s="6" t="str">
        <f aca="false">기준단가!C7</f>
        <v>-</v>
      </c>
      <c r="C9" s="6" t="str">
        <f aca="false">기준단가!D7</f>
        <v>-</v>
      </c>
      <c r="D9" s="6" t="str">
        <f aca="false">기준단가!E7</f>
        <v>냉동</v>
      </c>
      <c r="E9" s="14" t="n">
        <f aca="false">기준단가!G7</f>
        <v>10000</v>
      </c>
      <c r="F9" s="15"/>
      <c r="G9" s="15"/>
      <c r="H9" s="14" t="str">
        <f aca="false">IF(COUNT(F9:G9)=0,"",AVERAGE(F9:G9))</f>
        <v/>
      </c>
      <c r="I9" s="14" t="n">
        <f aca="false">ROUND(E9*(1+$C$3),-1)</f>
        <v>11500</v>
      </c>
      <c r="J9" s="16" t="str">
        <f aca="false">IF(H9="","",I9/H9-1)</f>
        <v/>
      </c>
      <c r="K9" s="17"/>
      <c r="L9" s="14" t="str">
        <f aca="false">IF(K9="","",K9*I9)</f>
        <v/>
      </c>
      <c r="M9" s="17"/>
    </row>
    <row r="10" customFormat="false" ht="15" hidden="false" customHeight="false" outlineLevel="0" collapsed="false">
      <c r="A10" s="9" t="str">
        <f aca="false">기준단가!B8</f>
        <v>우볼살</v>
      </c>
      <c r="B10" s="6" t="str">
        <f aca="false">기준단가!C8</f>
        <v>KILCOY</v>
      </c>
      <c r="C10" s="6" t="str">
        <f aca="false">기준단가!D8</f>
        <v>호주산</v>
      </c>
      <c r="D10" s="6" t="str">
        <f aca="false">기준단가!E8</f>
        <v>냉동</v>
      </c>
      <c r="E10" s="14" t="n">
        <f aca="false">기준단가!G8</f>
        <v>14000</v>
      </c>
      <c r="F10" s="15"/>
      <c r="G10" s="15"/>
      <c r="H10" s="14" t="str">
        <f aca="false">IF(COUNT(F10:G10)=0,"",AVERAGE(F10:G10))</f>
        <v/>
      </c>
      <c r="I10" s="14" t="n">
        <f aca="false">ROUND(E10*(1+$C$3),-1)</f>
        <v>16100</v>
      </c>
      <c r="J10" s="16" t="str">
        <f aca="false">IF(H10="","",I10/H10-1)</f>
        <v/>
      </c>
      <c r="K10" s="17"/>
      <c r="L10" s="14" t="str">
        <f aca="false">IF(K10="","",K10*I10)</f>
        <v/>
      </c>
      <c r="M10" s="17"/>
    </row>
    <row r="11" customFormat="false" ht="15" hidden="false" customHeight="false" outlineLevel="0" collapsed="false">
      <c r="A11" s="9" t="str">
        <f aca="false">기준단가!B9</f>
        <v>우볼살(작업)</v>
      </c>
      <c r="B11" s="6" t="str">
        <f aca="false">기준단가!C9</f>
        <v>AMH</v>
      </c>
      <c r="C11" s="6" t="str">
        <f aca="false">기준단가!D9</f>
        <v>호주산</v>
      </c>
      <c r="D11" s="6" t="str">
        <f aca="false">기준단가!E9</f>
        <v>냉동</v>
      </c>
      <c r="E11" s="14" t="n">
        <f aca="false">기준단가!G9</f>
        <v>11000</v>
      </c>
      <c r="F11" s="15"/>
      <c r="G11" s="15"/>
      <c r="H11" s="14" t="str">
        <f aca="false">IF(COUNT(F11:G11)=0,"",AVERAGE(F11:G11))</f>
        <v/>
      </c>
      <c r="I11" s="14" t="n">
        <f aca="false">ROUND(E11*(1+$C$3),-1)</f>
        <v>12650</v>
      </c>
      <c r="J11" s="16" t="str">
        <f aca="false">IF(H11="","",I11/H11-1)</f>
        <v/>
      </c>
      <c r="K11" s="17"/>
      <c r="L11" s="14" t="str">
        <f aca="false">IF(K11="","",K11*I11)</f>
        <v/>
      </c>
      <c r="M11" s="17"/>
    </row>
    <row r="12" customFormat="false" ht="15" hidden="false" customHeight="false" outlineLevel="0" collapsed="false">
      <c r="A12" s="9" t="str">
        <f aca="false">기준단가!B10</f>
        <v>돈삼겹살</v>
      </c>
      <c r="B12" s="6" t="str">
        <f aca="false">기준단가!C10</f>
        <v>MARCHER</v>
      </c>
      <c r="C12" s="6" t="str">
        <f aca="false">기준단가!D10</f>
        <v>오스트리아</v>
      </c>
      <c r="D12" s="6" t="str">
        <f aca="false">기준단가!E10</f>
        <v>냉동</v>
      </c>
      <c r="E12" s="14" t="n">
        <f aca="false">기준단가!G10</f>
        <v>6000</v>
      </c>
      <c r="F12" s="15"/>
      <c r="G12" s="15"/>
      <c r="H12" s="14" t="str">
        <f aca="false">IF(COUNT(F12:G12)=0,"",AVERAGE(F12:G12))</f>
        <v/>
      </c>
      <c r="I12" s="14" t="n">
        <f aca="false">ROUND(E12*(1+$C$3),-1)</f>
        <v>6900</v>
      </c>
      <c r="J12" s="16" t="str">
        <f aca="false">IF(H12="","",I12/H12-1)</f>
        <v/>
      </c>
      <c r="K12" s="17"/>
      <c r="L12" s="14" t="str">
        <f aca="false">IF(K12="","",K12*I12)</f>
        <v/>
      </c>
      <c r="M12" s="17"/>
    </row>
    <row r="13" customFormat="false" ht="15" hidden="false" customHeight="false" outlineLevel="0" collapsed="false">
      <c r="A13" s="9" t="str">
        <f aca="false">기준단가!B11</f>
        <v>와규등심</v>
      </c>
      <c r="B13" s="6" t="str">
        <f aca="false">기준단가!C11</f>
        <v>-</v>
      </c>
      <c r="C13" s="6" t="str">
        <f aca="false">기준단가!D11</f>
        <v>-</v>
      </c>
      <c r="D13" s="6" t="str">
        <f aca="false">기준단가!E11</f>
        <v>-</v>
      </c>
      <c r="E13" s="14" t="n">
        <f aca="false">기준단가!G11</f>
        <v>43000</v>
      </c>
      <c r="F13" s="15"/>
      <c r="G13" s="15"/>
      <c r="H13" s="14" t="str">
        <f aca="false">IF(COUNT(F13:G13)=0,"",AVERAGE(F13:G13))</f>
        <v/>
      </c>
      <c r="I13" s="14" t="n">
        <f aca="false">ROUND(E13*(1+$C$3),-1)</f>
        <v>49450</v>
      </c>
      <c r="J13" s="16" t="str">
        <f aca="false">IF(H13="","",I13/H13-1)</f>
        <v/>
      </c>
      <c r="K13" s="17"/>
      <c r="L13" s="14" t="str">
        <f aca="false">IF(K13="","",K13*I13)</f>
        <v/>
      </c>
      <c r="M13" s="17"/>
    </row>
    <row r="14" customFormat="false" ht="15" hidden="false" customHeight="false" outlineLevel="0" collapsed="false">
      <c r="A14" s="9" t="str">
        <f aca="false">기준단가!B12</f>
        <v>우곱창(곡물)</v>
      </c>
      <c r="B14" s="6" t="str">
        <f aca="false">기준단가!C12</f>
        <v>OAKEY</v>
      </c>
      <c r="C14" s="6" t="str">
        <f aca="false">기준단가!D12</f>
        <v>호주산</v>
      </c>
      <c r="D14" s="6" t="str">
        <f aca="false">기준단가!E12</f>
        <v>냉동</v>
      </c>
      <c r="E14" s="14" t="n">
        <f aca="false">기준단가!G12</f>
        <v>4500</v>
      </c>
      <c r="F14" s="15"/>
      <c r="G14" s="15"/>
      <c r="H14" s="14" t="str">
        <f aca="false">IF(COUNT(F14:G14)=0,"",AVERAGE(F14:G14))</f>
        <v/>
      </c>
      <c r="I14" s="14" t="n">
        <f aca="false">ROUND(E14*(1+$C$3),-1)</f>
        <v>5180</v>
      </c>
      <c r="J14" s="16" t="str">
        <f aca="false">IF(H14="","",I14/H14-1)</f>
        <v/>
      </c>
      <c r="K14" s="17"/>
      <c r="L14" s="14" t="str">
        <f aca="false">IF(K14="","",K14*I14)</f>
        <v/>
      </c>
      <c r="M14" s="17"/>
    </row>
    <row r="15" customFormat="false" ht="15" hidden="false" customHeight="false" outlineLevel="0" collapsed="false">
      <c r="A15" s="9" t="str">
        <f aca="false">기준단가!B13</f>
        <v>우깐양</v>
      </c>
      <c r="B15" s="6" t="str">
        <f aca="false">기준단가!C13</f>
        <v>TEYS</v>
      </c>
      <c r="C15" s="6" t="str">
        <f aca="false">기준단가!D13</f>
        <v>호주산</v>
      </c>
      <c r="D15" s="6" t="str">
        <f aca="false">기준단가!E13</f>
        <v>냉동</v>
      </c>
      <c r="E15" s="14" t="n">
        <f aca="false">기준단가!G13</f>
        <v>4700</v>
      </c>
      <c r="F15" s="15"/>
      <c r="G15" s="15"/>
      <c r="H15" s="14" t="str">
        <f aca="false">IF(COUNT(F15:G15)=0,"",AVERAGE(F15:G15))</f>
        <v/>
      </c>
      <c r="I15" s="14" t="n">
        <f aca="false">ROUND(E15*(1+$C$3),-1)</f>
        <v>5410</v>
      </c>
      <c r="J15" s="16" t="str">
        <f aca="false">IF(H15="","",I15/H15-1)</f>
        <v/>
      </c>
      <c r="K15" s="17"/>
      <c r="L15" s="14" t="str">
        <f aca="false">IF(K15="","",K15*I15)</f>
        <v/>
      </c>
      <c r="M15" s="17"/>
    </row>
    <row r="16" customFormat="false" ht="15" hidden="false" customHeight="false" outlineLevel="0" collapsed="false">
      <c r="A16" s="9" t="str">
        <f aca="false">기준단가!B14</f>
        <v>돈가브리살</v>
      </c>
      <c r="B16" s="6" t="str">
        <f aca="false">기준단가!C14</f>
        <v>-</v>
      </c>
      <c r="C16" s="6" t="str">
        <f aca="false">기준단가!D14</f>
        <v>-</v>
      </c>
      <c r="D16" s="6" t="str">
        <f aca="false">기준단가!E14</f>
        <v>냉동</v>
      </c>
      <c r="E16" s="14" t="n">
        <f aca="false">기준단가!G14</f>
        <v>22000</v>
      </c>
      <c r="F16" s="15"/>
      <c r="G16" s="15"/>
      <c r="H16" s="14" t="str">
        <f aca="false">IF(COUNT(F16:G16)=0,"",AVERAGE(F16:G16))</f>
        <v/>
      </c>
      <c r="I16" s="14" t="n">
        <f aca="false">ROUND(E16*(1+$C$3),-1)</f>
        <v>25300</v>
      </c>
      <c r="J16" s="16" t="str">
        <f aca="false">IF(H16="","",I16/H16-1)</f>
        <v/>
      </c>
      <c r="K16" s="17"/>
      <c r="L16" s="14" t="str">
        <f aca="false">IF(K16="","",K16*I16)</f>
        <v/>
      </c>
      <c r="M16" s="17"/>
    </row>
    <row r="17" customFormat="false" ht="15" hidden="false" customHeight="false" outlineLevel="0" collapsed="false">
      <c r="A17" s="9" t="str">
        <f aca="false">기준단가!B15</f>
        <v>돈항정살</v>
      </c>
      <c r="B17" s="6" t="str">
        <f aca="false">기준단가!C15</f>
        <v>-</v>
      </c>
      <c r="C17" s="6" t="str">
        <f aca="false">기준단가!D15</f>
        <v>-</v>
      </c>
      <c r="D17" s="6" t="str">
        <f aca="false">기준단가!E15</f>
        <v>냉동</v>
      </c>
      <c r="E17" s="14" t="n">
        <f aca="false">기준단가!G15</f>
        <v>31000</v>
      </c>
      <c r="F17" s="15"/>
      <c r="G17" s="15"/>
      <c r="H17" s="14" t="str">
        <f aca="false">IF(COUNT(F17:G17)=0,"",AVERAGE(F17:G17))</f>
        <v/>
      </c>
      <c r="I17" s="14" t="n">
        <f aca="false">ROUND(E17*(1+$C$3),-1)</f>
        <v>35650</v>
      </c>
      <c r="J17" s="16" t="str">
        <f aca="false">IF(H17="","",I17/H17-1)</f>
        <v/>
      </c>
      <c r="K17" s="17"/>
      <c r="L17" s="14" t="str">
        <f aca="false">IF(K17="","",K17*I17)</f>
        <v/>
      </c>
      <c r="M17" s="17"/>
    </row>
    <row r="18" customFormat="false" ht="15" hidden="false" customHeight="false" outlineLevel="0" collapsed="false">
      <c r="A18" s="9" t="str">
        <f aca="false">기준단가!B16</f>
        <v>돈미사태</v>
      </c>
      <c r="B18" s="6" t="str">
        <f aca="false">기준단가!C16</f>
        <v>-</v>
      </c>
      <c r="C18" s="6" t="str">
        <f aca="false">기준단가!D16</f>
        <v>국내산</v>
      </c>
      <c r="D18" s="6" t="str">
        <f aca="false">기준단가!E16</f>
        <v>냉장</v>
      </c>
      <c r="E18" s="14" t="n">
        <f aca="false">기준단가!G16</f>
        <v>8500</v>
      </c>
      <c r="F18" s="15"/>
      <c r="G18" s="15"/>
      <c r="H18" s="14" t="str">
        <f aca="false">IF(COUNT(F18:G18)=0,"",AVERAGE(F18:G18))</f>
        <v/>
      </c>
      <c r="I18" s="14" t="n">
        <f aca="false">ROUND(E18*(1+$C$3),-1)</f>
        <v>9780</v>
      </c>
      <c r="J18" s="16" t="str">
        <f aca="false">IF(H18="","",I18/H18-1)</f>
        <v/>
      </c>
      <c r="K18" s="17"/>
      <c r="L18" s="14" t="str">
        <f aca="false">IF(K18="","",K18*I18)</f>
        <v/>
      </c>
      <c r="M18" s="17"/>
    </row>
    <row r="19" customFormat="false" ht="15" hidden="false" customHeight="false" outlineLevel="0" collapsed="false">
      <c r="A19" s="9" t="str">
        <f aca="false">기준단가!B17</f>
        <v>우삼겹양지</v>
      </c>
      <c r="B19" s="6" t="str">
        <f aca="false">기준단가!C17</f>
        <v>IBP</v>
      </c>
      <c r="C19" s="6" t="str">
        <f aca="false">기준단가!D17</f>
        <v>미국산</v>
      </c>
      <c r="D19" s="6" t="str">
        <f aca="false">기준단가!E17</f>
        <v>냉동</v>
      </c>
      <c r="E19" s="14" t="n">
        <f aca="false">기준단가!G17</f>
        <v>9500</v>
      </c>
      <c r="F19" s="15"/>
      <c r="G19" s="15"/>
      <c r="H19" s="14" t="str">
        <f aca="false">IF(COUNT(F19:G19)=0,"",AVERAGE(F19:G19))</f>
        <v/>
      </c>
      <c r="I19" s="14" t="n">
        <f aca="false">ROUND(E19*(1+$C$3),-1)</f>
        <v>10930</v>
      </c>
      <c r="J19" s="16" t="str">
        <f aca="false">IF(H19="","",I19/H19-1)</f>
        <v/>
      </c>
      <c r="K19" s="17"/>
      <c r="L19" s="14" t="str">
        <f aca="false">IF(K19="","",K19*I19)</f>
        <v/>
      </c>
      <c r="M19" s="17"/>
    </row>
    <row r="20" customFormat="false" ht="15" hidden="false" customHeight="false" outlineLevel="0" collapsed="false">
      <c r="A20" s="9" t="str">
        <f aca="false">기준단가!B18</f>
        <v>돈A지방</v>
      </c>
      <c r="B20" s="6" t="str">
        <f aca="false">기준단가!C18</f>
        <v>-</v>
      </c>
      <c r="C20" s="6" t="str">
        <f aca="false">기준단가!D18</f>
        <v>-</v>
      </c>
      <c r="D20" s="6" t="str">
        <f aca="false">기준단가!E18</f>
        <v>냉동</v>
      </c>
      <c r="E20" s="14" t="n">
        <f aca="false">기준단가!G18</f>
        <v>2400</v>
      </c>
      <c r="F20" s="15"/>
      <c r="G20" s="15"/>
      <c r="H20" s="14" t="str">
        <f aca="false">IF(COUNT(F20:G20)=0,"",AVERAGE(F20:G20))</f>
        <v/>
      </c>
      <c r="I20" s="14" t="n">
        <f aca="false">ROUND(E20*(1+$C$3),-1)</f>
        <v>2760</v>
      </c>
      <c r="J20" s="16" t="str">
        <f aca="false">IF(H20="","",I20/H20-1)</f>
        <v/>
      </c>
      <c r="K20" s="17"/>
      <c r="L20" s="14" t="str">
        <f aca="false">IF(K20="","",K20*I20)</f>
        <v/>
      </c>
      <c r="M20" s="17"/>
    </row>
    <row r="21" customFormat="false" ht="15" hidden="false" customHeight="false" outlineLevel="0" collapsed="false">
      <c r="A21" s="9" t="str">
        <f aca="false">기준단가!B19</f>
        <v>돈갈비</v>
      </c>
      <c r="B21" s="6" t="str">
        <f aca="false">기준단가!C19</f>
        <v>-</v>
      </c>
      <c r="C21" s="6" t="str">
        <f aca="false">기준단가!D19</f>
        <v>-</v>
      </c>
      <c r="D21" s="6" t="str">
        <f aca="false">기준단가!E19</f>
        <v>냉장</v>
      </c>
      <c r="E21" s="14" t="n">
        <f aca="false">기준단가!G19</f>
        <v>7500</v>
      </c>
      <c r="F21" s="15"/>
      <c r="G21" s="15"/>
      <c r="H21" s="14" t="str">
        <f aca="false">IF(COUNT(F21:G21)=0,"",AVERAGE(F21:G21))</f>
        <v/>
      </c>
      <c r="I21" s="14" t="n">
        <f aca="false">ROUND(E21*(1+$C$3),-1)</f>
        <v>8630</v>
      </c>
      <c r="J21" s="16" t="str">
        <f aca="false">IF(H21="","",I21/H21-1)</f>
        <v/>
      </c>
      <c r="K21" s="17"/>
      <c r="L21" s="14" t="str">
        <f aca="false">IF(K21="","",K21*I21)</f>
        <v/>
      </c>
      <c r="M21" s="17"/>
    </row>
    <row r="22" customFormat="false" ht="15" hidden="false" customHeight="false" outlineLevel="0" collapsed="false">
      <c r="A22" s="9" t="str">
        <f aca="false">기준단가!B20</f>
        <v>우안심살(A)</v>
      </c>
      <c r="B22" s="6" t="str">
        <f aca="false">기준단가!C20</f>
        <v>TEYS</v>
      </c>
      <c r="C22" s="6" t="str">
        <f aca="false">기준단가!D20</f>
        <v>호주산</v>
      </c>
      <c r="D22" s="6" t="str">
        <f aca="false">기준단가!E20</f>
        <v>냉장</v>
      </c>
      <c r="E22" s="14" t="n">
        <f aca="false">기준단가!G20</f>
        <v>39000</v>
      </c>
      <c r="F22" s="15"/>
      <c r="G22" s="15"/>
      <c r="H22" s="14" t="str">
        <f aca="false">IF(COUNT(F22:G22)=0,"",AVERAGE(F22:G22))</f>
        <v/>
      </c>
      <c r="I22" s="14" t="n">
        <f aca="false">ROUND(E22*(1+$C$3),-1)</f>
        <v>44850</v>
      </c>
      <c r="J22" s="16" t="str">
        <f aca="false">IF(H22="","",I22/H22-1)</f>
        <v/>
      </c>
      <c r="K22" s="17"/>
      <c r="L22" s="14" t="str">
        <f aca="false">IF(K22="","",K22*I22)</f>
        <v/>
      </c>
      <c r="M22" s="17"/>
    </row>
    <row r="23" customFormat="false" ht="15" hidden="false" customHeight="false" outlineLevel="0" collapsed="false">
      <c r="A23" s="9" t="str">
        <f aca="false">기준단가!B21</f>
        <v>돈뽀(메이플)</v>
      </c>
      <c r="B23" s="6" t="str">
        <f aca="false">기준단가!C21</f>
        <v>-</v>
      </c>
      <c r="C23" s="6" t="str">
        <f aca="false">기준단가!D21</f>
        <v>캐나다산</v>
      </c>
      <c r="D23" s="6" t="str">
        <f aca="false">기준단가!E21</f>
        <v>냉동</v>
      </c>
      <c r="E23" s="14" t="n">
        <f aca="false">기준단가!G21</f>
        <v>1950</v>
      </c>
      <c r="F23" s="15"/>
      <c r="G23" s="15"/>
      <c r="H23" s="14" t="str">
        <f aca="false">IF(COUNT(F23:G23)=0,"",AVERAGE(F23:G23))</f>
        <v/>
      </c>
      <c r="I23" s="14" t="n">
        <f aca="false">ROUND(E23*(1+$C$3),-1)</f>
        <v>2240</v>
      </c>
      <c r="J23" s="16" t="str">
        <f aca="false">IF(H23="","",I23/H23-1)</f>
        <v/>
      </c>
      <c r="K23" s="17"/>
      <c r="L23" s="14" t="str">
        <f aca="false">IF(K23="","",K23*I23)</f>
        <v/>
      </c>
      <c r="M23" s="17"/>
    </row>
    <row r="24" customFormat="false" ht="15" hidden="false" customHeight="false" outlineLevel="0" collapsed="false">
      <c r="A24" s="9" t="str">
        <f aca="false">기준단가!B22</f>
        <v>우차돌박이</v>
      </c>
      <c r="B24" s="6" t="str">
        <f aca="false">기준단가!C22</f>
        <v>EXCEL</v>
      </c>
      <c r="C24" s="6" t="str">
        <f aca="false">기준단가!D22</f>
        <v>미국산</v>
      </c>
      <c r="D24" s="6" t="str">
        <f aca="false">기준단가!E22</f>
        <v>냉동</v>
      </c>
      <c r="E24" s="14" t="n">
        <f aca="false">기준단가!G22</f>
        <v>24000</v>
      </c>
      <c r="F24" s="15"/>
      <c r="G24" s="15"/>
      <c r="H24" s="14" t="str">
        <f aca="false">IF(COUNT(F24:G24)=0,"",AVERAGE(F24:G24))</f>
        <v/>
      </c>
      <c r="I24" s="14" t="n">
        <f aca="false">ROUND(E24*(1+$C$3),-1)</f>
        <v>27600</v>
      </c>
      <c r="J24" s="16" t="str">
        <f aca="false">IF(H24="","",I24/H24-1)</f>
        <v/>
      </c>
      <c r="K24" s="17"/>
      <c r="L24" s="14" t="str">
        <f aca="false">IF(K24="","",K24*I24)</f>
        <v/>
      </c>
      <c r="M24" s="17"/>
    </row>
    <row r="26" customFormat="false" ht="15" hidden="false" customHeight="false" outlineLevel="0" collapsed="false">
      <c r="A26" s="3" t="s">
        <v>82</v>
      </c>
      <c r="L26" s="18" t="n">
        <f aca="false">SUM(L6:L24)</f>
        <v>0</v>
      </c>
    </row>
    <row r="28" customFormat="false" ht="15" hidden="false" customHeight="false" outlineLevel="0" collapsed="false">
      <c r="A28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6"/>
  </cols>
  <sheetData>
    <row r="1" customFormat="false" ht="19.4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71</v>
      </c>
      <c r="C3" s="13" t="n">
        <v>0.15</v>
      </c>
      <c r="D3" s="12" t="s">
        <v>72</v>
      </c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</row>
    <row r="6" customFormat="false" ht="15" hidden="false" customHeight="false" outlineLevel="0" collapsed="false">
      <c r="A6" s="9" t="str">
        <f aca="false">기준단가!B4</f>
        <v>돈목살(성산한방)</v>
      </c>
      <c r="B6" s="6" t="str">
        <f aca="false">기준단가!C4</f>
        <v>성산</v>
      </c>
      <c r="C6" s="6" t="str">
        <f aca="false">기준단가!D4</f>
        <v>국내산</v>
      </c>
      <c r="D6" s="6" t="str">
        <f aca="false">기준단가!E4</f>
        <v>냉장</v>
      </c>
      <c r="E6" s="14" t="n">
        <f aca="false">기준단가!G4</f>
        <v>18000</v>
      </c>
      <c r="F6" s="15"/>
      <c r="G6" s="15"/>
      <c r="H6" s="14" t="str">
        <f aca="false">IF(COUNT(F6:G6)=0,"",AVERAGE(F6:G6))</f>
        <v/>
      </c>
      <c r="I6" s="14" t="n">
        <f aca="false">ROUND(E6*(1+$C$3),-1)</f>
        <v>20700</v>
      </c>
      <c r="J6" s="16" t="str">
        <f aca="false">IF(H6="","",I6/H6-1)</f>
        <v/>
      </c>
      <c r="K6" s="17"/>
      <c r="L6" s="14" t="str">
        <f aca="false">IF(K6="","",K6*I6)</f>
        <v/>
      </c>
      <c r="M6" s="17"/>
    </row>
    <row r="7" customFormat="false" ht="15" hidden="false" customHeight="false" outlineLevel="0" collapsed="false">
      <c r="A7" s="9" t="str">
        <f aca="false">기준단가!B5</f>
        <v>돈미박삼겹살</v>
      </c>
      <c r="B7" s="6" t="str">
        <f aca="false">기준단가!C5</f>
        <v>성산</v>
      </c>
      <c r="C7" s="6" t="str">
        <f aca="false">기준단가!D5</f>
        <v>국내산</v>
      </c>
      <c r="D7" s="6" t="str">
        <f aca="false">기준단가!E5</f>
        <v>냉장</v>
      </c>
      <c r="E7" s="14" t="n">
        <f aca="false">기준단가!G5</f>
        <v>18000</v>
      </c>
      <c r="F7" s="15"/>
      <c r="G7" s="15"/>
      <c r="H7" s="14" t="str">
        <f aca="false">IF(COUNT(F7:G7)=0,"",AVERAGE(F7:G7))</f>
        <v/>
      </c>
      <c r="I7" s="14" t="n">
        <f aca="false">ROUND(E7*(1+$C$3),-1)</f>
        <v>20700</v>
      </c>
      <c r="J7" s="16" t="str">
        <f aca="false">IF(H7="","",I7/H7-1)</f>
        <v/>
      </c>
      <c r="K7" s="17"/>
      <c r="L7" s="14" t="str">
        <f aca="false">IF(K7="","",K7*I7)</f>
        <v/>
      </c>
      <c r="M7" s="17"/>
    </row>
    <row r="8" customFormat="false" ht="15" hidden="false" customHeight="false" outlineLevel="0" collapsed="false">
      <c r="A8" s="9" t="str">
        <f aca="false">기준단가!B6</f>
        <v>돈삼겹살</v>
      </c>
      <c r="B8" s="6" t="str">
        <f aca="false">기준단가!C6</f>
        <v>성산</v>
      </c>
      <c r="C8" s="6" t="str">
        <f aca="false">기준단가!D6</f>
        <v>국내산</v>
      </c>
      <c r="D8" s="6" t="str">
        <f aca="false">기준단가!E6</f>
        <v>냉장</v>
      </c>
      <c r="E8" s="14" t="n">
        <f aca="false">기준단가!G6</f>
        <v>18500</v>
      </c>
      <c r="F8" s="15"/>
      <c r="G8" s="15"/>
      <c r="H8" s="14" t="str">
        <f aca="false">IF(COUNT(F8:G8)=0,"",AVERAGE(F8:G8))</f>
        <v/>
      </c>
      <c r="I8" s="14" t="n">
        <f aca="false">ROUND(E8*(1+$C$3),-1)</f>
        <v>21280</v>
      </c>
      <c r="J8" s="16" t="str">
        <f aca="false">IF(H8="","",I8/H8-1)</f>
        <v/>
      </c>
      <c r="K8" s="17"/>
      <c r="L8" s="14" t="str">
        <f aca="false">IF(K8="","",K8*I8)</f>
        <v/>
      </c>
      <c r="M8" s="17"/>
    </row>
    <row r="9" customFormat="false" ht="15" hidden="false" customHeight="false" outlineLevel="0" collapsed="false">
      <c r="A9" s="9" t="str">
        <f aca="false">기준단가!B7</f>
        <v>오즈갈비</v>
      </c>
      <c r="B9" s="6" t="str">
        <f aca="false">기준단가!C7</f>
        <v>-</v>
      </c>
      <c r="C9" s="6" t="str">
        <f aca="false">기준단가!D7</f>
        <v>-</v>
      </c>
      <c r="D9" s="6" t="str">
        <f aca="false">기준단가!E7</f>
        <v>냉동</v>
      </c>
      <c r="E9" s="14" t="n">
        <f aca="false">기준단가!G7</f>
        <v>10000</v>
      </c>
      <c r="F9" s="15"/>
      <c r="G9" s="15"/>
      <c r="H9" s="14" t="str">
        <f aca="false">IF(COUNT(F9:G9)=0,"",AVERAGE(F9:G9))</f>
        <v/>
      </c>
      <c r="I9" s="14" t="n">
        <f aca="false">ROUND(E9*(1+$C$3),-1)</f>
        <v>11500</v>
      </c>
      <c r="J9" s="16" t="str">
        <f aca="false">IF(H9="","",I9/H9-1)</f>
        <v/>
      </c>
      <c r="K9" s="17"/>
      <c r="L9" s="14" t="str">
        <f aca="false">IF(K9="","",K9*I9)</f>
        <v/>
      </c>
      <c r="M9" s="17"/>
    </row>
    <row r="10" customFormat="false" ht="15" hidden="false" customHeight="false" outlineLevel="0" collapsed="false">
      <c r="A10" s="9" t="str">
        <f aca="false">기준단가!B8</f>
        <v>우볼살</v>
      </c>
      <c r="B10" s="6" t="str">
        <f aca="false">기준단가!C8</f>
        <v>KILCOY</v>
      </c>
      <c r="C10" s="6" t="str">
        <f aca="false">기준단가!D8</f>
        <v>호주산</v>
      </c>
      <c r="D10" s="6" t="str">
        <f aca="false">기준단가!E8</f>
        <v>냉동</v>
      </c>
      <c r="E10" s="14" t="n">
        <f aca="false">기준단가!G8</f>
        <v>14000</v>
      </c>
      <c r="F10" s="15"/>
      <c r="G10" s="15"/>
      <c r="H10" s="14" t="str">
        <f aca="false">IF(COUNT(F10:G10)=0,"",AVERAGE(F10:G10))</f>
        <v/>
      </c>
      <c r="I10" s="14" t="n">
        <f aca="false">ROUND(E10*(1+$C$3),-1)</f>
        <v>16100</v>
      </c>
      <c r="J10" s="16" t="str">
        <f aca="false">IF(H10="","",I10/H10-1)</f>
        <v/>
      </c>
      <c r="K10" s="17"/>
      <c r="L10" s="14" t="str">
        <f aca="false">IF(K10="","",K10*I10)</f>
        <v/>
      </c>
      <c r="M10" s="17"/>
    </row>
    <row r="11" customFormat="false" ht="15" hidden="false" customHeight="false" outlineLevel="0" collapsed="false">
      <c r="A11" s="9" t="str">
        <f aca="false">기준단가!B9</f>
        <v>우볼살(작업)</v>
      </c>
      <c r="B11" s="6" t="str">
        <f aca="false">기준단가!C9</f>
        <v>AMH</v>
      </c>
      <c r="C11" s="6" t="str">
        <f aca="false">기준단가!D9</f>
        <v>호주산</v>
      </c>
      <c r="D11" s="6" t="str">
        <f aca="false">기준단가!E9</f>
        <v>냉동</v>
      </c>
      <c r="E11" s="14" t="n">
        <f aca="false">기준단가!G9</f>
        <v>11000</v>
      </c>
      <c r="F11" s="15"/>
      <c r="G11" s="15"/>
      <c r="H11" s="14" t="str">
        <f aca="false">IF(COUNT(F11:G11)=0,"",AVERAGE(F11:G11))</f>
        <v/>
      </c>
      <c r="I11" s="14" t="n">
        <f aca="false">ROUND(E11*(1+$C$3),-1)</f>
        <v>12650</v>
      </c>
      <c r="J11" s="16" t="str">
        <f aca="false">IF(H11="","",I11/H11-1)</f>
        <v/>
      </c>
      <c r="K11" s="17"/>
      <c r="L11" s="14" t="str">
        <f aca="false">IF(K11="","",K11*I11)</f>
        <v/>
      </c>
      <c r="M11" s="17"/>
    </row>
    <row r="12" customFormat="false" ht="15" hidden="false" customHeight="false" outlineLevel="0" collapsed="false">
      <c r="A12" s="9" t="str">
        <f aca="false">기준단가!B10</f>
        <v>돈삼겹살</v>
      </c>
      <c r="B12" s="6" t="str">
        <f aca="false">기준단가!C10</f>
        <v>MARCHER</v>
      </c>
      <c r="C12" s="6" t="str">
        <f aca="false">기준단가!D10</f>
        <v>오스트리아</v>
      </c>
      <c r="D12" s="6" t="str">
        <f aca="false">기준단가!E10</f>
        <v>냉동</v>
      </c>
      <c r="E12" s="14" t="n">
        <f aca="false">기준단가!G10</f>
        <v>6000</v>
      </c>
      <c r="F12" s="15"/>
      <c r="G12" s="15"/>
      <c r="H12" s="14" t="str">
        <f aca="false">IF(COUNT(F12:G12)=0,"",AVERAGE(F12:G12))</f>
        <v/>
      </c>
      <c r="I12" s="14" t="n">
        <f aca="false">ROUND(E12*(1+$C$3),-1)</f>
        <v>6900</v>
      </c>
      <c r="J12" s="16" t="str">
        <f aca="false">IF(H12="","",I12/H12-1)</f>
        <v/>
      </c>
      <c r="K12" s="17"/>
      <c r="L12" s="14" t="str">
        <f aca="false">IF(K12="","",K12*I12)</f>
        <v/>
      </c>
      <c r="M12" s="17"/>
    </row>
    <row r="13" customFormat="false" ht="15" hidden="false" customHeight="false" outlineLevel="0" collapsed="false">
      <c r="A13" s="9" t="str">
        <f aca="false">기준단가!B11</f>
        <v>와규등심</v>
      </c>
      <c r="B13" s="6" t="str">
        <f aca="false">기준단가!C11</f>
        <v>-</v>
      </c>
      <c r="C13" s="6" t="str">
        <f aca="false">기준단가!D11</f>
        <v>-</v>
      </c>
      <c r="D13" s="6" t="str">
        <f aca="false">기준단가!E11</f>
        <v>-</v>
      </c>
      <c r="E13" s="14" t="n">
        <f aca="false">기준단가!G11</f>
        <v>43000</v>
      </c>
      <c r="F13" s="15"/>
      <c r="G13" s="15"/>
      <c r="H13" s="14" t="str">
        <f aca="false">IF(COUNT(F13:G13)=0,"",AVERAGE(F13:G13))</f>
        <v/>
      </c>
      <c r="I13" s="14" t="n">
        <f aca="false">ROUND(E13*(1+$C$3),-1)</f>
        <v>49450</v>
      </c>
      <c r="J13" s="16" t="str">
        <f aca="false">IF(H13="","",I13/H13-1)</f>
        <v/>
      </c>
      <c r="K13" s="17"/>
      <c r="L13" s="14" t="str">
        <f aca="false">IF(K13="","",K13*I13)</f>
        <v/>
      </c>
      <c r="M13" s="17"/>
    </row>
    <row r="14" customFormat="false" ht="15" hidden="false" customHeight="false" outlineLevel="0" collapsed="false">
      <c r="A14" s="9" t="str">
        <f aca="false">기준단가!B12</f>
        <v>우곱창(곡물)</v>
      </c>
      <c r="B14" s="6" t="str">
        <f aca="false">기준단가!C12</f>
        <v>OAKEY</v>
      </c>
      <c r="C14" s="6" t="str">
        <f aca="false">기준단가!D12</f>
        <v>호주산</v>
      </c>
      <c r="D14" s="6" t="str">
        <f aca="false">기준단가!E12</f>
        <v>냉동</v>
      </c>
      <c r="E14" s="14" t="n">
        <f aca="false">기준단가!G12</f>
        <v>4500</v>
      </c>
      <c r="F14" s="15"/>
      <c r="G14" s="15"/>
      <c r="H14" s="14" t="str">
        <f aca="false">IF(COUNT(F14:G14)=0,"",AVERAGE(F14:G14))</f>
        <v/>
      </c>
      <c r="I14" s="14" t="n">
        <f aca="false">ROUND(E14*(1+$C$3),-1)</f>
        <v>5180</v>
      </c>
      <c r="J14" s="16" t="str">
        <f aca="false">IF(H14="","",I14/H14-1)</f>
        <v/>
      </c>
      <c r="K14" s="17"/>
      <c r="L14" s="14" t="str">
        <f aca="false">IF(K14="","",K14*I14)</f>
        <v/>
      </c>
      <c r="M14" s="17"/>
    </row>
    <row r="15" customFormat="false" ht="15" hidden="false" customHeight="false" outlineLevel="0" collapsed="false">
      <c r="A15" s="9" t="str">
        <f aca="false">기준단가!B13</f>
        <v>우깐양</v>
      </c>
      <c r="B15" s="6" t="str">
        <f aca="false">기준단가!C13</f>
        <v>TEYS</v>
      </c>
      <c r="C15" s="6" t="str">
        <f aca="false">기준단가!D13</f>
        <v>호주산</v>
      </c>
      <c r="D15" s="6" t="str">
        <f aca="false">기준단가!E13</f>
        <v>냉동</v>
      </c>
      <c r="E15" s="14" t="n">
        <f aca="false">기준단가!G13</f>
        <v>4700</v>
      </c>
      <c r="F15" s="15"/>
      <c r="G15" s="15"/>
      <c r="H15" s="14" t="str">
        <f aca="false">IF(COUNT(F15:G15)=0,"",AVERAGE(F15:G15))</f>
        <v/>
      </c>
      <c r="I15" s="14" t="n">
        <f aca="false">ROUND(E15*(1+$C$3),-1)</f>
        <v>5410</v>
      </c>
      <c r="J15" s="16" t="str">
        <f aca="false">IF(H15="","",I15/H15-1)</f>
        <v/>
      </c>
      <c r="K15" s="17"/>
      <c r="L15" s="14" t="str">
        <f aca="false">IF(K15="","",K15*I15)</f>
        <v/>
      </c>
      <c r="M15" s="17"/>
    </row>
    <row r="16" customFormat="false" ht="15" hidden="false" customHeight="false" outlineLevel="0" collapsed="false">
      <c r="A16" s="9" t="str">
        <f aca="false">기준단가!B14</f>
        <v>돈가브리살</v>
      </c>
      <c r="B16" s="6" t="str">
        <f aca="false">기준단가!C14</f>
        <v>-</v>
      </c>
      <c r="C16" s="6" t="str">
        <f aca="false">기준단가!D14</f>
        <v>-</v>
      </c>
      <c r="D16" s="6" t="str">
        <f aca="false">기준단가!E14</f>
        <v>냉동</v>
      </c>
      <c r="E16" s="14" t="n">
        <f aca="false">기준단가!G14</f>
        <v>22000</v>
      </c>
      <c r="F16" s="15"/>
      <c r="G16" s="15"/>
      <c r="H16" s="14" t="str">
        <f aca="false">IF(COUNT(F16:G16)=0,"",AVERAGE(F16:G16))</f>
        <v/>
      </c>
      <c r="I16" s="14" t="n">
        <f aca="false">ROUND(E16*(1+$C$3),-1)</f>
        <v>25300</v>
      </c>
      <c r="J16" s="16" t="str">
        <f aca="false">IF(H16="","",I16/H16-1)</f>
        <v/>
      </c>
      <c r="K16" s="17"/>
      <c r="L16" s="14" t="str">
        <f aca="false">IF(K16="","",K16*I16)</f>
        <v/>
      </c>
      <c r="M16" s="17"/>
    </row>
    <row r="17" customFormat="false" ht="15" hidden="false" customHeight="false" outlineLevel="0" collapsed="false">
      <c r="A17" s="9" t="str">
        <f aca="false">기준단가!B15</f>
        <v>돈항정살</v>
      </c>
      <c r="B17" s="6" t="str">
        <f aca="false">기준단가!C15</f>
        <v>-</v>
      </c>
      <c r="C17" s="6" t="str">
        <f aca="false">기준단가!D15</f>
        <v>-</v>
      </c>
      <c r="D17" s="6" t="str">
        <f aca="false">기준단가!E15</f>
        <v>냉동</v>
      </c>
      <c r="E17" s="14" t="n">
        <f aca="false">기준단가!G15</f>
        <v>31000</v>
      </c>
      <c r="F17" s="15"/>
      <c r="G17" s="15"/>
      <c r="H17" s="14" t="str">
        <f aca="false">IF(COUNT(F17:G17)=0,"",AVERAGE(F17:G17))</f>
        <v/>
      </c>
      <c r="I17" s="14" t="n">
        <f aca="false">ROUND(E17*(1+$C$3),-1)</f>
        <v>35650</v>
      </c>
      <c r="J17" s="16" t="str">
        <f aca="false">IF(H17="","",I17/H17-1)</f>
        <v/>
      </c>
      <c r="K17" s="17"/>
      <c r="L17" s="14" t="str">
        <f aca="false">IF(K17="","",K17*I17)</f>
        <v/>
      </c>
      <c r="M17" s="17"/>
    </row>
    <row r="18" customFormat="false" ht="15" hidden="false" customHeight="false" outlineLevel="0" collapsed="false">
      <c r="A18" s="9" t="str">
        <f aca="false">기준단가!B16</f>
        <v>돈미사태</v>
      </c>
      <c r="B18" s="6" t="str">
        <f aca="false">기준단가!C16</f>
        <v>-</v>
      </c>
      <c r="C18" s="6" t="str">
        <f aca="false">기준단가!D16</f>
        <v>국내산</v>
      </c>
      <c r="D18" s="6" t="str">
        <f aca="false">기준단가!E16</f>
        <v>냉장</v>
      </c>
      <c r="E18" s="14" t="n">
        <f aca="false">기준단가!G16</f>
        <v>8500</v>
      </c>
      <c r="F18" s="15"/>
      <c r="G18" s="15"/>
      <c r="H18" s="14" t="str">
        <f aca="false">IF(COUNT(F18:G18)=0,"",AVERAGE(F18:G18))</f>
        <v/>
      </c>
      <c r="I18" s="14" t="n">
        <f aca="false">ROUND(E18*(1+$C$3),-1)</f>
        <v>9780</v>
      </c>
      <c r="J18" s="16" t="str">
        <f aca="false">IF(H18="","",I18/H18-1)</f>
        <v/>
      </c>
      <c r="K18" s="17"/>
      <c r="L18" s="14" t="str">
        <f aca="false">IF(K18="","",K18*I18)</f>
        <v/>
      </c>
      <c r="M18" s="17"/>
    </row>
    <row r="19" customFormat="false" ht="15" hidden="false" customHeight="false" outlineLevel="0" collapsed="false">
      <c r="A19" s="9" t="str">
        <f aca="false">기준단가!B17</f>
        <v>우삼겹양지</v>
      </c>
      <c r="B19" s="6" t="str">
        <f aca="false">기준단가!C17</f>
        <v>IBP</v>
      </c>
      <c r="C19" s="6" t="str">
        <f aca="false">기준단가!D17</f>
        <v>미국산</v>
      </c>
      <c r="D19" s="6" t="str">
        <f aca="false">기준단가!E17</f>
        <v>냉동</v>
      </c>
      <c r="E19" s="14" t="n">
        <f aca="false">기준단가!G17</f>
        <v>9500</v>
      </c>
      <c r="F19" s="15"/>
      <c r="G19" s="15"/>
      <c r="H19" s="14" t="str">
        <f aca="false">IF(COUNT(F19:G19)=0,"",AVERAGE(F19:G19))</f>
        <v/>
      </c>
      <c r="I19" s="14" t="n">
        <f aca="false">ROUND(E19*(1+$C$3),-1)</f>
        <v>10930</v>
      </c>
      <c r="J19" s="16" t="str">
        <f aca="false">IF(H19="","",I19/H19-1)</f>
        <v/>
      </c>
      <c r="K19" s="17"/>
      <c r="L19" s="14" t="str">
        <f aca="false">IF(K19="","",K19*I19)</f>
        <v/>
      </c>
      <c r="M19" s="17"/>
    </row>
    <row r="20" customFormat="false" ht="15" hidden="false" customHeight="false" outlineLevel="0" collapsed="false">
      <c r="A20" s="9" t="str">
        <f aca="false">기준단가!B18</f>
        <v>돈A지방</v>
      </c>
      <c r="B20" s="6" t="str">
        <f aca="false">기준단가!C18</f>
        <v>-</v>
      </c>
      <c r="C20" s="6" t="str">
        <f aca="false">기준단가!D18</f>
        <v>-</v>
      </c>
      <c r="D20" s="6" t="str">
        <f aca="false">기준단가!E18</f>
        <v>냉동</v>
      </c>
      <c r="E20" s="14" t="n">
        <f aca="false">기준단가!G18</f>
        <v>2400</v>
      </c>
      <c r="F20" s="15"/>
      <c r="G20" s="15"/>
      <c r="H20" s="14" t="str">
        <f aca="false">IF(COUNT(F20:G20)=0,"",AVERAGE(F20:G20))</f>
        <v/>
      </c>
      <c r="I20" s="14" t="n">
        <f aca="false">ROUND(E20*(1+$C$3),-1)</f>
        <v>2760</v>
      </c>
      <c r="J20" s="16" t="str">
        <f aca="false">IF(H20="","",I20/H20-1)</f>
        <v/>
      </c>
      <c r="K20" s="17"/>
      <c r="L20" s="14" t="str">
        <f aca="false">IF(K20="","",K20*I20)</f>
        <v/>
      </c>
      <c r="M20" s="17"/>
    </row>
    <row r="21" customFormat="false" ht="15" hidden="false" customHeight="false" outlineLevel="0" collapsed="false">
      <c r="A21" s="9" t="str">
        <f aca="false">기준단가!B19</f>
        <v>돈갈비</v>
      </c>
      <c r="B21" s="6" t="str">
        <f aca="false">기준단가!C19</f>
        <v>-</v>
      </c>
      <c r="C21" s="6" t="str">
        <f aca="false">기준단가!D19</f>
        <v>-</v>
      </c>
      <c r="D21" s="6" t="str">
        <f aca="false">기준단가!E19</f>
        <v>냉장</v>
      </c>
      <c r="E21" s="14" t="n">
        <f aca="false">기준단가!G19</f>
        <v>7500</v>
      </c>
      <c r="F21" s="15"/>
      <c r="G21" s="15"/>
      <c r="H21" s="14" t="str">
        <f aca="false">IF(COUNT(F21:G21)=0,"",AVERAGE(F21:G21))</f>
        <v/>
      </c>
      <c r="I21" s="14" t="n">
        <f aca="false">ROUND(E21*(1+$C$3),-1)</f>
        <v>8630</v>
      </c>
      <c r="J21" s="16" t="str">
        <f aca="false">IF(H21="","",I21/H21-1)</f>
        <v/>
      </c>
      <c r="K21" s="17"/>
      <c r="L21" s="14" t="str">
        <f aca="false">IF(K21="","",K21*I21)</f>
        <v/>
      </c>
      <c r="M21" s="17"/>
    </row>
    <row r="22" customFormat="false" ht="15" hidden="false" customHeight="false" outlineLevel="0" collapsed="false">
      <c r="A22" s="9" t="str">
        <f aca="false">기준단가!B20</f>
        <v>우안심살(A)</v>
      </c>
      <c r="B22" s="6" t="str">
        <f aca="false">기준단가!C20</f>
        <v>TEYS</v>
      </c>
      <c r="C22" s="6" t="str">
        <f aca="false">기준단가!D20</f>
        <v>호주산</v>
      </c>
      <c r="D22" s="6" t="str">
        <f aca="false">기준단가!E20</f>
        <v>냉장</v>
      </c>
      <c r="E22" s="14" t="n">
        <f aca="false">기준단가!G20</f>
        <v>39000</v>
      </c>
      <c r="F22" s="15"/>
      <c r="G22" s="15"/>
      <c r="H22" s="14" t="str">
        <f aca="false">IF(COUNT(F22:G22)=0,"",AVERAGE(F22:G22))</f>
        <v/>
      </c>
      <c r="I22" s="14" t="n">
        <f aca="false">ROUND(E22*(1+$C$3),-1)</f>
        <v>44850</v>
      </c>
      <c r="J22" s="16" t="str">
        <f aca="false">IF(H22="","",I22/H22-1)</f>
        <v/>
      </c>
      <c r="K22" s="17"/>
      <c r="L22" s="14" t="str">
        <f aca="false">IF(K22="","",K22*I22)</f>
        <v/>
      </c>
      <c r="M22" s="17"/>
    </row>
    <row r="23" customFormat="false" ht="15" hidden="false" customHeight="false" outlineLevel="0" collapsed="false">
      <c r="A23" s="9" t="str">
        <f aca="false">기준단가!B21</f>
        <v>돈뽀(메이플)</v>
      </c>
      <c r="B23" s="6" t="str">
        <f aca="false">기준단가!C21</f>
        <v>-</v>
      </c>
      <c r="C23" s="6" t="str">
        <f aca="false">기준단가!D21</f>
        <v>캐나다산</v>
      </c>
      <c r="D23" s="6" t="str">
        <f aca="false">기준단가!E21</f>
        <v>냉동</v>
      </c>
      <c r="E23" s="14" t="n">
        <f aca="false">기준단가!G21</f>
        <v>1950</v>
      </c>
      <c r="F23" s="15"/>
      <c r="G23" s="15"/>
      <c r="H23" s="14" t="str">
        <f aca="false">IF(COUNT(F23:G23)=0,"",AVERAGE(F23:G23))</f>
        <v/>
      </c>
      <c r="I23" s="14" t="n">
        <f aca="false">ROUND(E23*(1+$C$3),-1)</f>
        <v>2240</v>
      </c>
      <c r="J23" s="16" t="str">
        <f aca="false">IF(H23="","",I23/H23-1)</f>
        <v/>
      </c>
      <c r="K23" s="17"/>
      <c r="L23" s="14" t="str">
        <f aca="false">IF(K23="","",K23*I23)</f>
        <v/>
      </c>
      <c r="M23" s="17"/>
    </row>
    <row r="24" customFormat="false" ht="15" hidden="false" customHeight="false" outlineLevel="0" collapsed="false">
      <c r="A24" s="9" t="str">
        <f aca="false">기준단가!B22</f>
        <v>우차돌박이</v>
      </c>
      <c r="B24" s="6" t="str">
        <f aca="false">기준단가!C22</f>
        <v>EXCEL</v>
      </c>
      <c r="C24" s="6" t="str">
        <f aca="false">기준단가!D22</f>
        <v>미국산</v>
      </c>
      <c r="D24" s="6" t="str">
        <f aca="false">기준단가!E22</f>
        <v>냉동</v>
      </c>
      <c r="E24" s="14" t="n">
        <f aca="false">기준단가!G22</f>
        <v>24000</v>
      </c>
      <c r="F24" s="15"/>
      <c r="G24" s="15"/>
      <c r="H24" s="14" t="str">
        <f aca="false">IF(COUNT(F24:G24)=0,"",AVERAGE(F24:G24))</f>
        <v/>
      </c>
      <c r="I24" s="14" t="n">
        <f aca="false">ROUND(E24*(1+$C$3),-1)</f>
        <v>27600</v>
      </c>
      <c r="J24" s="16" t="str">
        <f aca="false">IF(H24="","",I24/H24-1)</f>
        <v/>
      </c>
      <c r="K24" s="17"/>
      <c r="L24" s="14" t="str">
        <f aca="false">IF(K24="","",K24*I24)</f>
        <v/>
      </c>
      <c r="M24" s="17"/>
    </row>
    <row r="26" customFormat="false" ht="15" hidden="false" customHeight="false" outlineLevel="0" collapsed="false">
      <c r="A26" s="3" t="s">
        <v>82</v>
      </c>
      <c r="L26" s="18" t="n">
        <f aca="false">SUM(L6:L24)</f>
        <v>0</v>
      </c>
    </row>
    <row r="28" customFormat="false" ht="15" hidden="false" customHeight="false" outlineLevel="0" collapsed="false">
      <c r="A28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6"/>
  </cols>
  <sheetData>
    <row r="1" customFormat="false" ht="19.4" hidden="false" customHeight="false" outlineLevel="0" collapsed="false">
      <c r="A1" s="1" t="s">
        <v>86</v>
      </c>
    </row>
    <row r="3" customFormat="false" ht="15" hidden="false" customHeight="false" outlineLevel="0" collapsed="false">
      <c r="A3" s="3" t="s">
        <v>71</v>
      </c>
      <c r="C3" s="13" t="n">
        <v>0.15</v>
      </c>
      <c r="D3" s="12" t="s">
        <v>72</v>
      </c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</row>
    <row r="6" customFormat="false" ht="15" hidden="false" customHeight="false" outlineLevel="0" collapsed="false">
      <c r="A6" s="9" t="str">
        <f aca="false">기준단가!B4</f>
        <v>돈목살(성산한방)</v>
      </c>
      <c r="B6" s="6" t="str">
        <f aca="false">기준단가!C4</f>
        <v>성산</v>
      </c>
      <c r="C6" s="6" t="str">
        <f aca="false">기준단가!D4</f>
        <v>국내산</v>
      </c>
      <c r="D6" s="6" t="str">
        <f aca="false">기준단가!E4</f>
        <v>냉장</v>
      </c>
      <c r="E6" s="14" t="n">
        <f aca="false">기준단가!G4</f>
        <v>18000</v>
      </c>
      <c r="F6" s="15"/>
      <c r="G6" s="15"/>
      <c r="H6" s="14" t="str">
        <f aca="false">IF(COUNT(F6:G6)=0,"",AVERAGE(F6:G6))</f>
        <v/>
      </c>
      <c r="I6" s="14" t="n">
        <f aca="false">ROUND(E6*(1+$C$3),-1)</f>
        <v>20700</v>
      </c>
      <c r="J6" s="16" t="str">
        <f aca="false">IF(H6="","",I6/H6-1)</f>
        <v/>
      </c>
      <c r="K6" s="17"/>
      <c r="L6" s="14" t="str">
        <f aca="false">IF(K6="","",K6*I6)</f>
        <v/>
      </c>
      <c r="M6" s="17"/>
    </row>
    <row r="7" customFormat="false" ht="15" hidden="false" customHeight="false" outlineLevel="0" collapsed="false">
      <c r="A7" s="9" t="str">
        <f aca="false">기준단가!B5</f>
        <v>돈미박삼겹살</v>
      </c>
      <c r="B7" s="6" t="str">
        <f aca="false">기준단가!C5</f>
        <v>성산</v>
      </c>
      <c r="C7" s="6" t="str">
        <f aca="false">기준단가!D5</f>
        <v>국내산</v>
      </c>
      <c r="D7" s="6" t="str">
        <f aca="false">기준단가!E5</f>
        <v>냉장</v>
      </c>
      <c r="E7" s="14" t="n">
        <f aca="false">기준단가!G5</f>
        <v>18000</v>
      </c>
      <c r="F7" s="15"/>
      <c r="G7" s="15"/>
      <c r="H7" s="14" t="str">
        <f aca="false">IF(COUNT(F7:G7)=0,"",AVERAGE(F7:G7))</f>
        <v/>
      </c>
      <c r="I7" s="14" t="n">
        <f aca="false">ROUND(E7*(1+$C$3),-1)</f>
        <v>20700</v>
      </c>
      <c r="J7" s="16" t="str">
        <f aca="false">IF(H7="","",I7/H7-1)</f>
        <v/>
      </c>
      <c r="K7" s="17"/>
      <c r="L7" s="14" t="str">
        <f aca="false">IF(K7="","",K7*I7)</f>
        <v/>
      </c>
      <c r="M7" s="17"/>
    </row>
    <row r="8" customFormat="false" ht="15" hidden="false" customHeight="false" outlineLevel="0" collapsed="false">
      <c r="A8" s="9" t="str">
        <f aca="false">기준단가!B6</f>
        <v>돈삼겹살</v>
      </c>
      <c r="B8" s="6" t="str">
        <f aca="false">기준단가!C6</f>
        <v>성산</v>
      </c>
      <c r="C8" s="6" t="str">
        <f aca="false">기준단가!D6</f>
        <v>국내산</v>
      </c>
      <c r="D8" s="6" t="str">
        <f aca="false">기준단가!E6</f>
        <v>냉장</v>
      </c>
      <c r="E8" s="14" t="n">
        <f aca="false">기준단가!G6</f>
        <v>18500</v>
      </c>
      <c r="F8" s="15"/>
      <c r="G8" s="15"/>
      <c r="H8" s="14" t="str">
        <f aca="false">IF(COUNT(F8:G8)=0,"",AVERAGE(F8:G8))</f>
        <v/>
      </c>
      <c r="I8" s="14" t="n">
        <f aca="false">ROUND(E8*(1+$C$3),-1)</f>
        <v>21280</v>
      </c>
      <c r="J8" s="16" t="str">
        <f aca="false">IF(H8="","",I8/H8-1)</f>
        <v/>
      </c>
      <c r="K8" s="17"/>
      <c r="L8" s="14" t="str">
        <f aca="false">IF(K8="","",K8*I8)</f>
        <v/>
      </c>
      <c r="M8" s="17"/>
    </row>
    <row r="9" customFormat="false" ht="15" hidden="false" customHeight="false" outlineLevel="0" collapsed="false">
      <c r="A9" s="9" t="str">
        <f aca="false">기준단가!B7</f>
        <v>오즈갈비</v>
      </c>
      <c r="B9" s="6" t="str">
        <f aca="false">기준단가!C7</f>
        <v>-</v>
      </c>
      <c r="C9" s="6" t="str">
        <f aca="false">기준단가!D7</f>
        <v>-</v>
      </c>
      <c r="D9" s="6" t="str">
        <f aca="false">기준단가!E7</f>
        <v>냉동</v>
      </c>
      <c r="E9" s="14" t="n">
        <f aca="false">기준단가!G7</f>
        <v>10000</v>
      </c>
      <c r="F9" s="15"/>
      <c r="G9" s="15"/>
      <c r="H9" s="14" t="str">
        <f aca="false">IF(COUNT(F9:G9)=0,"",AVERAGE(F9:G9))</f>
        <v/>
      </c>
      <c r="I9" s="14" t="n">
        <f aca="false">ROUND(E9*(1+$C$3),-1)</f>
        <v>11500</v>
      </c>
      <c r="J9" s="16" t="str">
        <f aca="false">IF(H9="","",I9/H9-1)</f>
        <v/>
      </c>
      <c r="K9" s="17"/>
      <c r="L9" s="14" t="str">
        <f aca="false">IF(K9="","",K9*I9)</f>
        <v/>
      </c>
      <c r="M9" s="17"/>
    </row>
    <row r="10" customFormat="false" ht="15" hidden="false" customHeight="false" outlineLevel="0" collapsed="false">
      <c r="A10" s="9" t="str">
        <f aca="false">기준단가!B8</f>
        <v>우볼살</v>
      </c>
      <c r="B10" s="6" t="str">
        <f aca="false">기준단가!C8</f>
        <v>KILCOY</v>
      </c>
      <c r="C10" s="6" t="str">
        <f aca="false">기준단가!D8</f>
        <v>호주산</v>
      </c>
      <c r="D10" s="6" t="str">
        <f aca="false">기준단가!E8</f>
        <v>냉동</v>
      </c>
      <c r="E10" s="14" t="n">
        <f aca="false">기준단가!G8</f>
        <v>14000</v>
      </c>
      <c r="F10" s="15"/>
      <c r="G10" s="15"/>
      <c r="H10" s="14" t="str">
        <f aca="false">IF(COUNT(F10:G10)=0,"",AVERAGE(F10:G10))</f>
        <v/>
      </c>
      <c r="I10" s="14" t="n">
        <f aca="false">ROUND(E10*(1+$C$3),-1)</f>
        <v>16100</v>
      </c>
      <c r="J10" s="16" t="str">
        <f aca="false">IF(H10="","",I10/H10-1)</f>
        <v/>
      </c>
      <c r="K10" s="17"/>
      <c r="L10" s="14" t="str">
        <f aca="false">IF(K10="","",K10*I10)</f>
        <v/>
      </c>
      <c r="M10" s="17"/>
    </row>
    <row r="11" customFormat="false" ht="15" hidden="false" customHeight="false" outlineLevel="0" collapsed="false">
      <c r="A11" s="9" t="str">
        <f aca="false">기준단가!B9</f>
        <v>우볼살(작업)</v>
      </c>
      <c r="B11" s="6" t="str">
        <f aca="false">기준단가!C9</f>
        <v>AMH</v>
      </c>
      <c r="C11" s="6" t="str">
        <f aca="false">기준단가!D9</f>
        <v>호주산</v>
      </c>
      <c r="D11" s="6" t="str">
        <f aca="false">기준단가!E9</f>
        <v>냉동</v>
      </c>
      <c r="E11" s="14" t="n">
        <f aca="false">기준단가!G9</f>
        <v>11000</v>
      </c>
      <c r="F11" s="15"/>
      <c r="G11" s="15"/>
      <c r="H11" s="14" t="str">
        <f aca="false">IF(COUNT(F11:G11)=0,"",AVERAGE(F11:G11))</f>
        <v/>
      </c>
      <c r="I11" s="14" t="n">
        <f aca="false">ROUND(E11*(1+$C$3),-1)</f>
        <v>12650</v>
      </c>
      <c r="J11" s="16" t="str">
        <f aca="false">IF(H11="","",I11/H11-1)</f>
        <v/>
      </c>
      <c r="K11" s="17"/>
      <c r="L11" s="14" t="str">
        <f aca="false">IF(K11="","",K11*I11)</f>
        <v/>
      </c>
      <c r="M11" s="17"/>
    </row>
    <row r="12" customFormat="false" ht="15" hidden="false" customHeight="false" outlineLevel="0" collapsed="false">
      <c r="A12" s="9" t="str">
        <f aca="false">기준단가!B10</f>
        <v>돈삼겹살</v>
      </c>
      <c r="B12" s="6" t="str">
        <f aca="false">기준단가!C10</f>
        <v>MARCHER</v>
      </c>
      <c r="C12" s="6" t="str">
        <f aca="false">기준단가!D10</f>
        <v>오스트리아</v>
      </c>
      <c r="D12" s="6" t="str">
        <f aca="false">기준단가!E10</f>
        <v>냉동</v>
      </c>
      <c r="E12" s="14" t="n">
        <f aca="false">기준단가!G10</f>
        <v>6000</v>
      </c>
      <c r="F12" s="15"/>
      <c r="G12" s="15"/>
      <c r="H12" s="14" t="str">
        <f aca="false">IF(COUNT(F12:G12)=0,"",AVERAGE(F12:G12))</f>
        <v/>
      </c>
      <c r="I12" s="14" t="n">
        <f aca="false">ROUND(E12*(1+$C$3),-1)</f>
        <v>6900</v>
      </c>
      <c r="J12" s="16" t="str">
        <f aca="false">IF(H12="","",I12/H12-1)</f>
        <v/>
      </c>
      <c r="K12" s="17"/>
      <c r="L12" s="14" t="str">
        <f aca="false">IF(K12="","",K12*I12)</f>
        <v/>
      </c>
      <c r="M12" s="17"/>
    </row>
    <row r="13" customFormat="false" ht="15" hidden="false" customHeight="false" outlineLevel="0" collapsed="false">
      <c r="A13" s="9" t="str">
        <f aca="false">기준단가!B11</f>
        <v>와규등심</v>
      </c>
      <c r="B13" s="6" t="str">
        <f aca="false">기준단가!C11</f>
        <v>-</v>
      </c>
      <c r="C13" s="6" t="str">
        <f aca="false">기준단가!D11</f>
        <v>-</v>
      </c>
      <c r="D13" s="6" t="str">
        <f aca="false">기준단가!E11</f>
        <v>-</v>
      </c>
      <c r="E13" s="14" t="n">
        <f aca="false">기준단가!G11</f>
        <v>43000</v>
      </c>
      <c r="F13" s="15"/>
      <c r="G13" s="15"/>
      <c r="H13" s="14" t="str">
        <f aca="false">IF(COUNT(F13:G13)=0,"",AVERAGE(F13:G13))</f>
        <v/>
      </c>
      <c r="I13" s="14" t="n">
        <f aca="false">ROUND(E13*(1+$C$3),-1)</f>
        <v>49450</v>
      </c>
      <c r="J13" s="16" t="str">
        <f aca="false">IF(H13="","",I13/H13-1)</f>
        <v/>
      </c>
      <c r="K13" s="17"/>
      <c r="L13" s="14" t="str">
        <f aca="false">IF(K13="","",K13*I13)</f>
        <v/>
      </c>
      <c r="M13" s="17"/>
    </row>
    <row r="14" customFormat="false" ht="15" hidden="false" customHeight="false" outlineLevel="0" collapsed="false">
      <c r="A14" s="9" t="str">
        <f aca="false">기준단가!B12</f>
        <v>우곱창(곡물)</v>
      </c>
      <c r="B14" s="6" t="str">
        <f aca="false">기준단가!C12</f>
        <v>OAKEY</v>
      </c>
      <c r="C14" s="6" t="str">
        <f aca="false">기준단가!D12</f>
        <v>호주산</v>
      </c>
      <c r="D14" s="6" t="str">
        <f aca="false">기준단가!E12</f>
        <v>냉동</v>
      </c>
      <c r="E14" s="14" t="n">
        <f aca="false">기준단가!G12</f>
        <v>4500</v>
      </c>
      <c r="F14" s="15"/>
      <c r="G14" s="15"/>
      <c r="H14" s="14" t="str">
        <f aca="false">IF(COUNT(F14:G14)=0,"",AVERAGE(F14:G14))</f>
        <v/>
      </c>
      <c r="I14" s="14" t="n">
        <f aca="false">ROUND(E14*(1+$C$3),-1)</f>
        <v>5180</v>
      </c>
      <c r="J14" s="16" t="str">
        <f aca="false">IF(H14="","",I14/H14-1)</f>
        <v/>
      </c>
      <c r="K14" s="17"/>
      <c r="L14" s="14" t="str">
        <f aca="false">IF(K14="","",K14*I14)</f>
        <v/>
      </c>
      <c r="M14" s="17"/>
    </row>
    <row r="15" customFormat="false" ht="15" hidden="false" customHeight="false" outlineLevel="0" collapsed="false">
      <c r="A15" s="9" t="str">
        <f aca="false">기준단가!B13</f>
        <v>우깐양</v>
      </c>
      <c r="B15" s="6" t="str">
        <f aca="false">기준단가!C13</f>
        <v>TEYS</v>
      </c>
      <c r="C15" s="6" t="str">
        <f aca="false">기준단가!D13</f>
        <v>호주산</v>
      </c>
      <c r="D15" s="6" t="str">
        <f aca="false">기준단가!E13</f>
        <v>냉동</v>
      </c>
      <c r="E15" s="14" t="n">
        <f aca="false">기준단가!G13</f>
        <v>4700</v>
      </c>
      <c r="F15" s="15"/>
      <c r="G15" s="15"/>
      <c r="H15" s="14" t="str">
        <f aca="false">IF(COUNT(F15:G15)=0,"",AVERAGE(F15:G15))</f>
        <v/>
      </c>
      <c r="I15" s="14" t="n">
        <f aca="false">ROUND(E15*(1+$C$3),-1)</f>
        <v>5410</v>
      </c>
      <c r="J15" s="16" t="str">
        <f aca="false">IF(H15="","",I15/H15-1)</f>
        <v/>
      </c>
      <c r="K15" s="17"/>
      <c r="L15" s="14" t="str">
        <f aca="false">IF(K15="","",K15*I15)</f>
        <v/>
      </c>
      <c r="M15" s="17"/>
    </row>
    <row r="16" customFormat="false" ht="15" hidden="false" customHeight="false" outlineLevel="0" collapsed="false">
      <c r="A16" s="9" t="str">
        <f aca="false">기준단가!B14</f>
        <v>돈가브리살</v>
      </c>
      <c r="B16" s="6" t="str">
        <f aca="false">기준단가!C14</f>
        <v>-</v>
      </c>
      <c r="C16" s="6" t="str">
        <f aca="false">기준단가!D14</f>
        <v>-</v>
      </c>
      <c r="D16" s="6" t="str">
        <f aca="false">기준단가!E14</f>
        <v>냉동</v>
      </c>
      <c r="E16" s="14" t="n">
        <f aca="false">기준단가!G14</f>
        <v>22000</v>
      </c>
      <c r="F16" s="15"/>
      <c r="G16" s="15"/>
      <c r="H16" s="14" t="str">
        <f aca="false">IF(COUNT(F16:G16)=0,"",AVERAGE(F16:G16))</f>
        <v/>
      </c>
      <c r="I16" s="14" t="n">
        <f aca="false">ROUND(E16*(1+$C$3),-1)</f>
        <v>25300</v>
      </c>
      <c r="J16" s="16" t="str">
        <f aca="false">IF(H16="","",I16/H16-1)</f>
        <v/>
      </c>
      <c r="K16" s="17"/>
      <c r="L16" s="14" t="str">
        <f aca="false">IF(K16="","",K16*I16)</f>
        <v/>
      </c>
      <c r="M16" s="17"/>
    </row>
    <row r="17" customFormat="false" ht="15" hidden="false" customHeight="false" outlineLevel="0" collapsed="false">
      <c r="A17" s="9" t="str">
        <f aca="false">기준단가!B15</f>
        <v>돈항정살</v>
      </c>
      <c r="B17" s="6" t="str">
        <f aca="false">기준단가!C15</f>
        <v>-</v>
      </c>
      <c r="C17" s="6" t="str">
        <f aca="false">기준단가!D15</f>
        <v>-</v>
      </c>
      <c r="D17" s="6" t="str">
        <f aca="false">기준단가!E15</f>
        <v>냉동</v>
      </c>
      <c r="E17" s="14" t="n">
        <f aca="false">기준단가!G15</f>
        <v>31000</v>
      </c>
      <c r="F17" s="15"/>
      <c r="G17" s="15"/>
      <c r="H17" s="14" t="str">
        <f aca="false">IF(COUNT(F17:G17)=0,"",AVERAGE(F17:G17))</f>
        <v/>
      </c>
      <c r="I17" s="14" t="n">
        <f aca="false">ROUND(E17*(1+$C$3),-1)</f>
        <v>35650</v>
      </c>
      <c r="J17" s="16" t="str">
        <f aca="false">IF(H17="","",I17/H17-1)</f>
        <v/>
      </c>
      <c r="K17" s="17"/>
      <c r="L17" s="14" t="str">
        <f aca="false">IF(K17="","",K17*I17)</f>
        <v/>
      </c>
      <c r="M17" s="17"/>
    </row>
    <row r="18" customFormat="false" ht="15" hidden="false" customHeight="false" outlineLevel="0" collapsed="false">
      <c r="A18" s="9" t="str">
        <f aca="false">기준단가!B16</f>
        <v>돈미사태</v>
      </c>
      <c r="B18" s="6" t="str">
        <f aca="false">기준단가!C16</f>
        <v>-</v>
      </c>
      <c r="C18" s="6" t="str">
        <f aca="false">기준단가!D16</f>
        <v>국내산</v>
      </c>
      <c r="D18" s="6" t="str">
        <f aca="false">기준단가!E16</f>
        <v>냉장</v>
      </c>
      <c r="E18" s="14" t="n">
        <f aca="false">기준단가!G16</f>
        <v>8500</v>
      </c>
      <c r="F18" s="15"/>
      <c r="G18" s="15"/>
      <c r="H18" s="14" t="str">
        <f aca="false">IF(COUNT(F18:G18)=0,"",AVERAGE(F18:G18))</f>
        <v/>
      </c>
      <c r="I18" s="14" t="n">
        <f aca="false">ROUND(E18*(1+$C$3),-1)</f>
        <v>9780</v>
      </c>
      <c r="J18" s="16" t="str">
        <f aca="false">IF(H18="","",I18/H18-1)</f>
        <v/>
      </c>
      <c r="K18" s="17"/>
      <c r="L18" s="14" t="str">
        <f aca="false">IF(K18="","",K18*I18)</f>
        <v/>
      </c>
      <c r="M18" s="17"/>
    </row>
    <row r="19" customFormat="false" ht="15" hidden="false" customHeight="false" outlineLevel="0" collapsed="false">
      <c r="A19" s="9" t="str">
        <f aca="false">기준단가!B17</f>
        <v>우삼겹양지</v>
      </c>
      <c r="B19" s="6" t="str">
        <f aca="false">기준단가!C17</f>
        <v>IBP</v>
      </c>
      <c r="C19" s="6" t="str">
        <f aca="false">기준단가!D17</f>
        <v>미국산</v>
      </c>
      <c r="D19" s="6" t="str">
        <f aca="false">기준단가!E17</f>
        <v>냉동</v>
      </c>
      <c r="E19" s="14" t="n">
        <f aca="false">기준단가!G17</f>
        <v>9500</v>
      </c>
      <c r="F19" s="15"/>
      <c r="G19" s="15"/>
      <c r="H19" s="14" t="str">
        <f aca="false">IF(COUNT(F19:G19)=0,"",AVERAGE(F19:G19))</f>
        <v/>
      </c>
      <c r="I19" s="14" t="n">
        <f aca="false">ROUND(E19*(1+$C$3),-1)</f>
        <v>10930</v>
      </c>
      <c r="J19" s="16" t="str">
        <f aca="false">IF(H19="","",I19/H19-1)</f>
        <v/>
      </c>
      <c r="K19" s="17"/>
      <c r="L19" s="14" t="str">
        <f aca="false">IF(K19="","",K19*I19)</f>
        <v/>
      </c>
      <c r="M19" s="17"/>
    </row>
    <row r="20" customFormat="false" ht="15" hidden="false" customHeight="false" outlineLevel="0" collapsed="false">
      <c r="A20" s="9" t="str">
        <f aca="false">기준단가!B18</f>
        <v>돈A지방</v>
      </c>
      <c r="B20" s="6" t="str">
        <f aca="false">기준단가!C18</f>
        <v>-</v>
      </c>
      <c r="C20" s="6" t="str">
        <f aca="false">기준단가!D18</f>
        <v>-</v>
      </c>
      <c r="D20" s="6" t="str">
        <f aca="false">기준단가!E18</f>
        <v>냉동</v>
      </c>
      <c r="E20" s="14" t="n">
        <f aca="false">기준단가!G18</f>
        <v>2400</v>
      </c>
      <c r="F20" s="15"/>
      <c r="G20" s="15"/>
      <c r="H20" s="14" t="str">
        <f aca="false">IF(COUNT(F20:G20)=0,"",AVERAGE(F20:G20))</f>
        <v/>
      </c>
      <c r="I20" s="14" t="n">
        <f aca="false">ROUND(E20*(1+$C$3),-1)</f>
        <v>2760</v>
      </c>
      <c r="J20" s="16" t="str">
        <f aca="false">IF(H20="","",I20/H20-1)</f>
        <v/>
      </c>
      <c r="K20" s="17"/>
      <c r="L20" s="14" t="str">
        <f aca="false">IF(K20="","",K20*I20)</f>
        <v/>
      </c>
      <c r="M20" s="17"/>
    </row>
    <row r="21" customFormat="false" ht="15" hidden="false" customHeight="false" outlineLevel="0" collapsed="false">
      <c r="A21" s="9" t="str">
        <f aca="false">기준단가!B19</f>
        <v>돈갈비</v>
      </c>
      <c r="B21" s="6" t="str">
        <f aca="false">기준단가!C19</f>
        <v>-</v>
      </c>
      <c r="C21" s="6" t="str">
        <f aca="false">기준단가!D19</f>
        <v>-</v>
      </c>
      <c r="D21" s="6" t="str">
        <f aca="false">기준단가!E19</f>
        <v>냉장</v>
      </c>
      <c r="E21" s="14" t="n">
        <f aca="false">기준단가!G19</f>
        <v>7500</v>
      </c>
      <c r="F21" s="15"/>
      <c r="G21" s="15"/>
      <c r="H21" s="14" t="str">
        <f aca="false">IF(COUNT(F21:G21)=0,"",AVERAGE(F21:G21))</f>
        <v/>
      </c>
      <c r="I21" s="14" t="n">
        <f aca="false">ROUND(E21*(1+$C$3),-1)</f>
        <v>8630</v>
      </c>
      <c r="J21" s="16" t="str">
        <f aca="false">IF(H21="","",I21/H21-1)</f>
        <v/>
      </c>
      <c r="K21" s="17"/>
      <c r="L21" s="14" t="str">
        <f aca="false">IF(K21="","",K21*I21)</f>
        <v/>
      </c>
      <c r="M21" s="17"/>
    </row>
    <row r="22" customFormat="false" ht="15" hidden="false" customHeight="false" outlineLevel="0" collapsed="false">
      <c r="A22" s="9" t="str">
        <f aca="false">기준단가!B20</f>
        <v>우안심살(A)</v>
      </c>
      <c r="B22" s="6" t="str">
        <f aca="false">기준단가!C20</f>
        <v>TEYS</v>
      </c>
      <c r="C22" s="6" t="str">
        <f aca="false">기준단가!D20</f>
        <v>호주산</v>
      </c>
      <c r="D22" s="6" t="str">
        <f aca="false">기준단가!E20</f>
        <v>냉장</v>
      </c>
      <c r="E22" s="14" t="n">
        <f aca="false">기준단가!G20</f>
        <v>39000</v>
      </c>
      <c r="F22" s="15"/>
      <c r="G22" s="15"/>
      <c r="H22" s="14" t="str">
        <f aca="false">IF(COUNT(F22:G22)=0,"",AVERAGE(F22:G22))</f>
        <v/>
      </c>
      <c r="I22" s="14" t="n">
        <f aca="false">ROUND(E22*(1+$C$3),-1)</f>
        <v>44850</v>
      </c>
      <c r="J22" s="16" t="str">
        <f aca="false">IF(H22="","",I22/H22-1)</f>
        <v/>
      </c>
      <c r="K22" s="17"/>
      <c r="L22" s="14" t="str">
        <f aca="false">IF(K22="","",K22*I22)</f>
        <v/>
      </c>
      <c r="M22" s="17"/>
    </row>
    <row r="23" customFormat="false" ht="15" hidden="false" customHeight="false" outlineLevel="0" collapsed="false">
      <c r="A23" s="9" t="str">
        <f aca="false">기준단가!B21</f>
        <v>돈뽀(메이플)</v>
      </c>
      <c r="B23" s="6" t="str">
        <f aca="false">기준단가!C21</f>
        <v>-</v>
      </c>
      <c r="C23" s="6" t="str">
        <f aca="false">기준단가!D21</f>
        <v>캐나다산</v>
      </c>
      <c r="D23" s="6" t="str">
        <f aca="false">기준단가!E21</f>
        <v>냉동</v>
      </c>
      <c r="E23" s="14" t="n">
        <f aca="false">기준단가!G21</f>
        <v>1950</v>
      </c>
      <c r="F23" s="15"/>
      <c r="G23" s="15"/>
      <c r="H23" s="14" t="str">
        <f aca="false">IF(COUNT(F23:G23)=0,"",AVERAGE(F23:G23))</f>
        <v/>
      </c>
      <c r="I23" s="14" t="n">
        <f aca="false">ROUND(E23*(1+$C$3),-1)</f>
        <v>2240</v>
      </c>
      <c r="J23" s="16" t="str">
        <f aca="false">IF(H23="","",I23/H23-1)</f>
        <v/>
      </c>
      <c r="K23" s="17"/>
      <c r="L23" s="14" t="str">
        <f aca="false">IF(K23="","",K23*I23)</f>
        <v/>
      </c>
      <c r="M23" s="17"/>
    </row>
    <row r="24" customFormat="false" ht="15" hidden="false" customHeight="false" outlineLevel="0" collapsed="false">
      <c r="A24" s="9" t="str">
        <f aca="false">기준단가!B22</f>
        <v>우차돌박이</v>
      </c>
      <c r="B24" s="6" t="str">
        <f aca="false">기준단가!C22</f>
        <v>EXCEL</v>
      </c>
      <c r="C24" s="6" t="str">
        <f aca="false">기준단가!D22</f>
        <v>미국산</v>
      </c>
      <c r="D24" s="6" t="str">
        <f aca="false">기준단가!E22</f>
        <v>냉동</v>
      </c>
      <c r="E24" s="14" t="n">
        <f aca="false">기준단가!G22</f>
        <v>24000</v>
      </c>
      <c r="F24" s="15"/>
      <c r="G24" s="15"/>
      <c r="H24" s="14" t="str">
        <f aca="false">IF(COUNT(F24:G24)=0,"",AVERAGE(F24:G24))</f>
        <v/>
      </c>
      <c r="I24" s="14" t="n">
        <f aca="false">ROUND(E24*(1+$C$3),-1)</f>
        <v>27600</v>
      </c>
      <c r="J24" s="16" t="str">
        <f aca="false">IF(H24="","",I24/H24-1)</f>
        <v/>
      </c>
      <c r="K24" s="17"/>
      <c r="L24" s="14" t="str">
        <f aca="false">IF(K24="","",K24*I24)</f>
        <v/>
      </c>
      <c r="M24" s="17"/>
    </row>
    <row r="26" customFormat="false" ht="15" hidden="false" customHeight="false" outlineLevel="0" collapsed="false">
      <c r="A26" s="3" t="s">
        <v>82</v>
      </c>
      <c r="L26" s="18" t="n">
        <f aca="false">SUM(L6:L24)</f>
        <v>0</v>
      </c>
    </row>
    <row r="28" customFormat="false" ht="15" hidden="false" customHeight="false" outlineLevel="0" collapsed="false">
      <c r="A28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6"/>
  </cols>
  <sheetData>
    <row r="1" customFormat="false" ht="19.4" hidden="false" customHeight="false" outlineLevel="0" collapsed="false">
      <c r="A1" s="1" t="s">
        <v>87</v>
      </c>
    </row>
    <row r="3" customFormat="false" ht="15" hidden="false" customHeight="false" outlineLevel="0" collapsed="false">
      <c r="A3" s="3" t="s">
        <v>71</v>
      </c>
      <c r="C3" s="13" t="n">
        <v>0.15</v>
      </c>
      <c r="D3" s="12" t="s">
        <v>72</v>
      </c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</row>
    <row r="6" customFormat="false" ht="15" hidden="false" customHeight="false" outlineLevel="0" collapsed="false">
      <c r="A6" s="9" t="str">
        <f aca="false">기준단가!B4</f>
        <v>돈목살(성산한방)</v>
      </c>
      <c r="B6" s="6" t="str">
        <f aca="false">기준단가!C4</f>
        <v>성산</v>
      </c>
      <c r="C6" s="6" t="str">
        <f aca="false">기준단가!D4</f>
        <v>국내산</v>
      </c>
      <c r="D6" s="6" t="str">
        <f aca="false">기준단가!E4</f>
        <v>냉장</v>
      </c>
      <c r="E6" s="14" t="n">
        <f aca="false">기준단가!G4</f>
        <v>18000</v>
      </c>
      <c r="F6" s="15"/>
      <c r="G6" s="15"/>
      <c r="H6" s="14" t="str">
        <f aca="false">IF(COUNT(F6:G6)=0,"",AVERAGE(F6:G6))</f>
        <v/>
      </c>
      <c r="I6" s="14" t="n">
        <f aca="false">ROUND(E6*(1+$C$3),-1)</f>
        <v>20700</v>
      </c>
      <c r="J6" s="16" t="str">
        <f aca="false">IF(H6="","",I6/H6-1)</f>
        <v/>
      </c>
      <c r="K6" s="17"/>
      <c r="L6" s="14" t="str">
        <f aca="false">IF(K6="","",K6*I6)</f>
        <v/>
      </c>
      <c r="M6" s="17"/>
    </row>
    <row r="7" customFormat="false" ht="15" hidden="false" customHeight="false" outlineLevel="0" collapsed="false">
      <c r="A7" s="9" t="str">
        <f aca="false">기준단가!B5</f>
        <v>돈미박삼겹살</v>
      </c>
      <c r="B7" s="6" t="str">
        <f aca="false">기준단가!C5</f>
        <v>성산</v>
      </c>
      <c r="C7" s="6" t="str">
        <f aca="false">기준단가!D5</f>
        <v>국내산</v>
      </c>
      <c r="D7" s="6" t="str">
        <f aca="false">기준단가!E5</f>
        <v>냉장</v>
      </c>
      <c r="E7" s="14" t="n">
        <f aca="false">기준단가!G5</f>
        <v>18000</v>
      </c>
      <c r="F7" s="15"/>
      <c r="G7" s="15"/>
      <c r="H7" s="14" t="str">
        <f aca="false">IF(COUNT(F7:G7)=0,"",AVERAGE(F7:G7))</f>
        <v/>
      </c>
      <c r="I7" s="14" t="n">
        <f aca="false">ROUND(E7*(1+$C$3),-1)</f>
        <v>20700</v>
      </c>
      <c r="J7" s="16" t="str">
        <f aca="false">IF(H7="","",I7/H7-1)</f>
        <v/>
      </c>
      <c r="K7" s="17"/>
      <c r="L7" s="14" t="str">
        <f aca="false">IF(K7="","",K7*I7)</f>
        <v/>
      </c>
      <c r="M7" s="17"/>
    </row>
    <row r="8" customFormat="false" ht="15" hidden="false" customHeight="false" outlineLevel="0" collapsed="false">
      <c r="A8" s="9" t="str">
        <f aca="false">기준단가!B6</f>
        <v>돈삼겹살</v>
      </c>
      <c r="B8" s="6" t="str">
        <f aca="false">기준단가!C6</f>
        <v>성산</v>
      </c>
      <c r="C8" s="6" t="str">
        <f aca="false">기준단가!D6</f>
        <v>국내산</v>
      </c>
      <c r="D8" s="6" t="str">
        <f aca="false">기준단가!E6</f>
        <v>냉장</v>
      </c>
      <c r="E8" s="14" t="n">
        <f aca="false">기준단가!G6</f>
        <v>18500</v>
      </c>
      <c r="F8" s="15"/>
      <c r="G8" s="15"/>
      <c r="H8" s="14" t="str">
        <f aca="false">IF(COUNT(F8:G8)=0,"",AVERAGE(F8:G8))</f>
        <v/>
      </c>
      <c r="I8" s="14" t="n">
        <f aca="false">ROUND(E8*(1+$C$3),-1)</f>
        <v>21280</v>
      </c>
      <c r="J8" s="16" t="str">
        <f aca="false">IF(H8="","",I8/H8-1)</f>
        <v/>
      </c>
      <c r="K8" s="17"/>
      <c r="L8" s="14" t="str">
        <f aca="false">IF(K8="","",K8*I8)</f>
        <v/>
      </c>
      <c r="M8" s="17"/>
    </row>
    <row r="9" customFormat="false" ht="15" hidden="false" customHeight="false" outlineLevel="0" collapsed="false">
      <c r="A9" s="9" t="str">
        <f aca="false">기준단가!B7</f>
        <v>오즈갈비</v>
      </c>
      <c r="B9" s="6" t="str">
        <f aca="false">기준단가!C7</f>
        <v>-</v>
      </c>
      <c r="C9" s="6" t="str">
        <f aca="false">기준단가!D7</f>
        <v>-</v>
      </c>
      <c r="D9" s="6" t="str">
        <f aca="false">기준단가!E7</f>
        <v>냉동</v>
      </c>
      <c r="E9" s="14" t="n">
        <f aca="false">기준단가!G7</f>
        <v>10000</v>
      </c>
      <c r="F9" s="15"/>
      <c r="G9" s="15"/>
      <c r="H9" s="14" t="str">
        <f aca="false">IF(COUNT(F9:G9)=0,"",AVERAGE(F9:G9))</f>
        <v/>
      </c>
      <c r="I9" s="14" t="n">
        <f aca="false">ROUND(E9*(1+$C$3),-1)</f>
        <v>11500</v>
      </c>
      <c r="J9" s="16" t="str">
        <f aca="false">IF(H9="","",I9/H9-1)</f>
        <v/>
      </c>
      <c r="K9" s="17"/>
      <c r="L9" s="14" t="str">
        <f aca="false">IF(K9="","",K9*I9)</f>
        <v/>
      </c>
      <c r="M9" s="17"/>
    </row>
    <row r="10" customFormat="false" ht="15" hidden="false" customHeight="false" outlineLevel="0" collapsed="false">
      <c r="A10" s="9" t="str">
        <f aca="false">기준단가!B8</f>
        <v>우볼살</v>
      </c>
      <c r="B10" s="6" t="str">
        <f aca="false">기준단가!C8</f>
        <v>KILCOY</v>
      </c>
      <c r="C10" s="6" t="str">
        <f aca="false">기준단가!D8</f>
        <v>호주산</v>
      </c>
      <c r="D10" s="6" t="str">
        <f aca="false">기준단가!E8</f>
        <v>냉동</v>
      </c>
      <c r="E10" s="14" t="n">
        <f aca="false">기준단가!G8</f>
        <v>14000</v>
      </c>
      <c r="F10" s="15"/>
      <c r="G10" s="15"/>
      <c r="H10" s="14" t="str">
        <f aca="false">IF(COUNT(F10:G10)=0,"",AVERAGE(F10:G10))</f>
        <v/>
      </c>
      <c r="I10" s="14" t="n">
        <f aca="false">ROUND(E10*(1+$C$3),-1)</f>
        <v>16100</v>
      </c>
      <c r="J10" s="16" t="str">
        <f aca="false">IF(H10="","",I10/H10-1)</f>
        <v/>
      </c>
      <c r="K10" s="17"/>
      <c r="L10" s="14" t="str">
        <f aca="false">IF(K10="","",K10*I10)</f>
        <v/>
      </c>
      <c r="M10" s="17"/>
    </row>
    <row r="11" customFormat="false" ht="15" hidden="false" customHeight="false" outlineLevel="0" collapsed="false">
      <c r="A11" s="9" t="str">
        <f aca="false">기준단가!B9</f>
        <v>우볼살(작업)</v>
      </c>
      <c r="B11" s="6" t="str">
        <f aca="false">기준단가!C9</f>
        <v>AMH</v>
      </c>
      <c r="C11" s="6" t="str">
        <f aca="false">기준단가!D9</f>
        <v>호주산</v>
      </c>
      <c r="D11" s="6" t="str">
        <f aca="false">기준단가!E9</f>
        <v>냉동</v>
      </c>
      <c r="E11" s="14" t="n">
        <f aca="false">기준단가!G9</f>
        <v>11000</v>
      </c>
      <c r="F11" s="15"/>
      <c r="G11" s="15"/>
      <c r="H11" s="14" t="str">
        <f aca="false">IF(COUNT(F11:G11)=0,"",AVERAGE(F11:G11))</f>
        <v/>
      </c>
      <c r="I11" s="14" t="n">
        <f aca="false">ROUND(E11*(1+$C$3),-1)</f>
        <v>12650</v>
      </c>
      <c r="J11" s="16" t="str">
        <f aca="false">IF(H11="","",I11/H11-1)</f>
        <v/>
      </c>
      <c r="K11" s="17"/>
      <c r="L11" s="14" t="str">
        <f aca="false">IF(K11="","",K11*I11)</f>
        <v/>
      </c>
      <c r="M11" s="17"/>
    </row>
    <row r="12" customFormat="false" ht="15" hidden="false" customHeight="false" outlineLevel="0" collapsed="false">
      <c r="A12" s="9" t="str">
        <f aca="false">기준단가!B10</f>
        <v>돈삼겹살</v>
      </c>
      <c r="B12" s="6" t="str">
        <f aca="false">기준단가!C10</f>
        <v>MARCHER</v>
      </c>
      <c r="C12" s="6" t="str">
        <f aca="false">기준단가!D10</f>
        <v>오스트리아</v>
      </c>
      <c r="D12" s="6" t="str">
        <f aca="false">기준단가!E10</f>
        <v>냉동</v>
      </c>
      <c r="E12" s="14" t="n">
        <f aca="false">기준단가!G10</f>
        <v>6000</v>
      </c>
      <c r="F12" s="15"/>
      <c r="G12" s="15"/>
      <c r="H12" s="14" t="str">
        <f aca="false">IF(COUNT(F12:G12)=0,"",AVERAGE(F12:G12))</f>
        <v/>
      </c>
      <c r="I12" s="14" t="n">
        <f aca="false">ROUND(E12*(1+$C$3),-1)</f>
        <v>6900</v>
      </c>
      <c r="J12" s="16" t="str">
        <f aca="false">IF(H12="","",I12/H12-1)</f>
        <v/>
      </c>
      <c r="K12" s="17"/>
      <c r="L12" s="14" t="str">
        <f aca="false">IF(K12="","",K12*I12)</f>
        <v/>
      </c>
      <c r="M12" s="17"/>
    </row>
    <row r="13" customFormat="false" ht="15" hidden="false" customHeight="false" outlineLevel="0" collapsed="false">
      <c r="A13" s="9" t="str">
        <f aca="false">기준단가!B11</f>
        <v>와규등심</v>
      </c>
      <c r="B13" s="6" t="str">
        <f aca="false">기준단가!C11</f>
        <v>-</v>
      </c>
      <c r="C13" s="6" t="str">
        <f aca="false">기준단가!D11</f>
        <v>-</v>
      </c>
      <c r="D13" s="6" t="str">
        <f aca="false">기준단가!E11</f>
        <v>-</v>
      </c>
      <c r="E13" s="14" t="n">
        <f aca="false">기준단가!G11</f>
        <v>43000</v>
      </c>
      <c r="F13" s="15"/>
      <c r="G13" s="15"/>
      <c r="H13" s="14" t="str">
        <f aca="false">IF(COUNT(F13:G13)=0,"",AVERAGE(F13:G13))</f>
        <v/>
      </c>
      <c r="I13" s="14" t="n">
        <f aca="false">ROUND(E13*(1+$C$3),-1)</f>
        <v>49450</v>
      </c>
      <c r="J13" s="16" t="str">
        <f aca="false">IF(H13="","",I13/H13-1)</f>
        <v/>
      </c>
      <c r="K13" s="17"/>
      <c r="L13" s="14" t="str">
        <f aca="false">IF(K13="","",K13*I13)</f>
        <v/>
      </c>
      <c r="M13" s="17"/>
    </row>
    <row r="14" customFormat="false" ht="15" hidden="false" customHeight="false" outlineLevel="0" collapsed="false">
      <c r="A14" s="9" t="str">
        <f aca="false">기준단가!B12</f>
        <v>우곱창(곡물)</v>
      </c>
      <c r="B14" s="6" t="str">
        <f aca="false">기준단가!C12</f>
        <v>OAKEY</v>
      </c>
      <c r="C14" s="6" t="str">
        <f aca="false">기준단가!D12</f>
        <v>호주산</v>
      </c>
      <c r="D14" s="6" t="str">
        <f aca="false">기준단가!E12</f>
        <v>냉동</v>
      </c>
      <c r="E14" s="14" t="n">
        <f aca="false">기준단가!G12</f>
        <v>4500</v>
      </c>
      <c r="F14" s="15"/>
      <c r="G14" s="15"/>
      <c r="H14" s="14" t="str">
        <f aca="false">IF(COUNT(F14:G14)=0,"",AVERAGE(F14:G14))</f>
        <v/>
      </c>
      <c r="I14" s="14" t="n">
        <f aca="false">ROUND(E14*(1+$C$3),-1)</f>
        <v>5180</v>
      </c>
      <c r="J14" s="16" t="str">
        <f aca="false">IF(H14="","",I14/H14-1)</f>
        <v/>
      </c>
      <c r="K14" s="17"/>
      <c r="L14" s="14" t="str">
        <f aca="false">IF(K14="","",K14*I14)</f>
        <v/>
      </c>
      <c r="M14" s="17"/>
    </row>
    <row r="15" customFormat="false" ht="15" hidden="false" customHeight="false" outlineLevel="0" collapsed="false">
      <c r="A15" s="9" t="str">
        <f aca="false">기준단가!B13</f>
        <v>우깐양</v>
      </c>
      <c r="B15" s="6" t="str">
        <f aca="false">기준단가!C13</f>
        <v>TEYS</v>
      </c>
      <c r="C15" s="6" t="str">
        <f aca="false">기준단가!D13</f>
        <v>호주산</v>
      </c>
      <c r="D15" s="6" t="str">
        <f aca="false">기준단가!E13</f>
        <v>냉동</v>
      </c>
      <c r="E15" s="14" t="n">
        <f aca="false">기준단가!G13</f>
        <v>4700</v>
      </c>
      <c r="F15" s="15"/>
      <c r="G15" s="15"/>
      <c r="H15" s="14" t="str">
        <f aca="false">IF(COUNT(F15:G15)=0,"",AVERAGE(F15:G15))</f>
        <v/>
      </c>
      <c r="I15" s="14" t="n">
        <f aca="false">ROUND(E15*(1+$C$3),-1)</f>
        <v>5410</v>
      </c>
      <c r="J15" s="16" t="str">
        <f aca="false">IF(H15="","",I15/H15-1)</f>
        <v/>
      </c>
      <c r="K15" s="17"/>
      <c r="L15" s="14" t="str">
        <f aca="false">IF(K15="","",K15*I15)</f>
        <v/>
      </c>
      <c r="M15" s="17"/>
    </row>
    <row r="16" customFormat="false" ht="15" hidden="false" customHeight="false" outlineLevel="0" collapsed="false">
      <c r="A16" s="9" t="str">
        <f aca="false">기준단가!B14</f>
        <v>돈가브리살</v>
      </c>
      <c r="B16" s="6" t="str">
        <f aca="false">기준단가!C14</f>
        <v>-</v>
      </c>
      <c r="C16" s="6" t="str">
        <f aca="false">기준단가!D14</f>
        <v>-</v>
      </c>
      <c r="D16" s="6" t="str">
        <f aca="false">기준단가!E14</f>
        <v>냉동</v>
      </c>
      <c r="E16" s="14" t="n">
        <f aca="false">기준단가!G14</f>
        <v>22000</v>
      </c>
      <c r="F16" s="15"/>
      <c r="G16" s="15"/>
      <c r="H16" s="14" t="str">
        <f aca="false">IF(COUNT(F16:G16)=0,"",AVERAGE(F16:G16))</f>
        <v/>
      </c>
      <c r="I16" s="14" t="n">
        <f aca="false">ROUND(E16*(1+$C$3),-1)</f>
        <v>25300</v>
      </c>
      <c r="J16" s="16" t="str">
        <f aca="false">IF(H16="","",I16/H16-1)</f>
        <v/>
      </c>
      <c r="K16" s="17"/>
      <c r="L16" s="14" t="str">
        <f aca="false">IF(K16="","",K16*I16)</f>
        <v/>
      </c>
      <c r="M16" s="17"/>
    </row>
    <row r="17" customFormat="false" ht="15" hidden="false" customHeight="false" outlineLevel="0" collapsed="false">
      <c r="A17" s="9" t="str">
        <f aca="false">기준단가!B15</f>
        <v>돈항정살</v>
      </c>
      <c r="B17" s="6" t="str">
        <f aca="false">기준단가!C15</f>
        <v>-</v>
      </c>
      <c r="C17" s="6" t="str">
        <f aca="false">기준단가!D15</f>
        <v>-</v>
      </c>
      <c r="D17" s="6" t="str">
        <f aca="false">기준단가!E15</f>
        <v>냉동</v>
      </c>
      <c r="E17" s="14" t="n">
        <f aca="false">기준단가!G15</f>
        <v>31000</v>
      </c>
      <c r="F17" s="15"/>
      <c r="G17" s="15"/>
      <c r="H17" s="14" t="str">
        <f aca="false">IF(COUNT(F17:G17)=0,"",AVERAGE(F17:G17))</f>
        <v/>
      </c>
      <c r="I17" s="14" t="n">
        <f aca="false">ROUND(E17*(1+$C$3),-1)</f>
        <v>35650</v>
      </c>
      <c r="J17" s="16" t="str">
        <f aca="false">IF(H17="","",I17/H17-1)</f>
        <v/>
      </c>
      <c r="K17" s="17"/>
      <c r="L17" s="14" t="str">
        <f aca="false">IF(K17="","",K17*I17)</f>
        <v/>
      </c>
      <c r="M17" s="17"/>
    </row>
    <row r="18" customFormat="false" ht="15" hidden="false" customHeight="false" outlineLevel="0" collapsed="false">
      <c r="A18" s="9" t="str">
        <f aca="false">기준단가!B16</f>
        <v>돈미사태</v>
      </c>
      <c r="B18" s="6" t="str">
        <f aca="false">기준단가!C16</f>
        <v>-</v>
      </c>
      <c r="C18" s="6" t="str">
        <f aca="false">기준단가!D16</f>
        <v>국내산</v>
      </c>
      <c r="D18" s="6" t="str">
        <f aca="false">기준단가!E16</f>
        <v>냉장</v>
      </c>
      <c r="E18" s="14" t="n">
        <f aca="false">기준단가!G16</f>
        <v>8500</v>
      </c>
      <c r="F18" s="15"/>
      <c r="G18" s="15"/>
      <c r="H18" s="14" t="str">
        <f aca="false">IF(COUNT(F18:G18)=0,"",AVERAGE(F18:G18))</f>
        <v/>
      </c>
      <c r="I18" s="14" t="n">
        <f aca="false">ROUND(E18*(1+$C$3),-1)</f>
        <v>9780</v>
      </c>
      <c r="J18" s="16" t="str">
        <f aca="false">IF(H18="","",I18/H18-1)</f>
        <v/>
      </c>
      <c r="K18" s="17"/>
      <c r="L18" s="14" t="str">
        <f aca="false">IF(K18="","",K18*I18)</f>
        <v/>
      </c>
      <c r="M18" s="17"/>
    </row>
    <row r="19" customFormat="false" ht="15" hidden="false" customHeight="false" outlineLevel="0" collapsed="false">
      <c r="A19" s="9" t="str">
        <f aca="false">기준단가!B17</f>
        <v>우삼겹양지</v>
      </c>
      <c r="B19" s="6" t="str">
        <f aca="false">기준단가!C17</f>
        <v>IBP</v>
      </c>
      <c r="C19" s="6" t="str">
        <f aca="false">기준단가!D17</f>
        <v>미국산</v>
      </c>
      <c r="D19" s="6" t="str">
        <f aca="false">기준단가!E17</f>
        <v>냉동</v>
      </c>
      <c r="E19" s="14" t="n">
        <f aca="false">기준단가!G17</f>
        <v>9500</v>
      </c>
      <c r="F19" s="15"/>
      <c r="G19" s="15"/>
      <c r="H19" s="14" t="str">
        <f aca="false">IF(COUNT(F19:G19)=0,"",AVERAGE(F19:G19))</f>
        <v/>
      </c>
      <c r="I19" s="14" t="n">
        <f aca="false">ROUND(E19*(1+$C$3),-1)</f>
        <v>10930</v>
      </c>
      <c r="J19" s="16" t="str">
        <f aca="false">IF(H19="","",I19/H19-1)</f>
        <v/>
      </c>
      <c r="K19" s="17"/>
      <c r="L19" s="14" t="str">
        <f aca="false">IF(K19="","",K19*I19)</f>
        <v/>
      </c>
      <c r="M19" s="17"/>
    </row>
    <row r="20" customFormat="false" ht="15" hidden="false" customHeight="false" outlineLevel="0" collapsed="false">
      <c r="A20" s="9" t="str">
        <f aca="false">기준단가!B18</f>
        <v>돈A지방</v>
      </c>
      <c r="B20" s="6" t="str">
        <f aca="false">기준단가!C18</f>
        <v>-</v>
      </c>
      <c r="C20" s="6" t="str">
        <f aca="false">기준단가!D18</f>
        <v>-</v>
      </c>
      <c r="D20" s="6" t="str">
        <f aca="false">기준단가!E18</f>
        <v>냉동</v>
      </c>
      <c r="E20" s="14" t="n">
        <f aca="false">기준단가!G18</f>
        <v>2400</v>
      </c>
      <c r="F20" s="15"/>
      <c r="G20" s="15"/>
      <c r="H20" s="14" t="str">
        <f aca="false">IF(COUNT(F20:G20)=0,"",AVERAGE(F20:G20))</f>
        <v/>
      </c>
      <c r="I20" s="14" t="n">
        <f aca="false">ROUND(E20*(1+$C$3),-1)</f>
        <v>2760</v>
      </c>
      <c r="J20" s="16" t="str">
        <f aca="false">IF(H20="","",I20/H20-1)</f>
        <v/>
      </c>
      <c r="K20" s="17"/>
      <c r="L20" s="14" t="str">
        <f aca="false">IF(K20="","",K20*I20)</f>
        <v/>
      </c>
      <c r="M20" s="17"/>
    </row>
    <row r="21" customFormat="false" ht="15" hidden="false" customHeight="false" outlineLevel="0" collapsed="false">
      <c r="A21" s="9" t="str">
        <f aca="false">기준단가!B19</f>
        <v>돈갈비</v>
      </c>
      <c r="B21" s="6" t="str">
        <f aca="false">기준단가!C19</f>
        <v>-</v>
      </c>
      <c r="C21" s="6" t="str">
        <f aca="false">기준단가!D19</f>
        <v>-</v>
      </c>
      <c r="D21" s="6" t="str">
        <f aca="false">기준단가!E19</f>
        <v>냉장</v>
      </c>
      <c r="E21" s="14" t="n">
        <f aca="false">기준단가!G19</f>
        <v>7500</v>
      </c>
      <c r="F21" s="15"/>
      <c r="G21" s="15"/>
      <c r="H21" s="14" t="str">
        <f aca="false">IF(COUNT(F21:G21)=0,"",AVERAGE(F21:G21))</f>
        <v/>
      </c>
      <c r="I21" s="14" t="n">
        <f aca="false">ROUND(E21*(1+$C$3),-1)</f>
        <v>8630</v>
      </c>
      <c r="J21" s="16" t="str">
        <f aca="false">IF(H21="","",I21/H21-1)</f>
        <v/>
      </c>
      <c r="K21" s="17"/>
      <c r="L21" s="14" t="str">
        <f aca="false">IF(K21="","",K21*I21)</f>
        <v/>
      </c>
      <c r="M21" s="17"/>
    </row>
    <row r="22" customFormat="false" ht="15" hidden="false" customHeight="false" outlineLevel="0" collapsed="false">
      <c r="A22" s="9" t="str">
        <f aca="false">기준단가!B20</f>
        <v>우안심살(A)</v>
      </c>
      <c r="B22" s="6" t="str">
        <f aca="false">기준단가!C20</f>
        <v>TEYS</v>
      </c>
      <c r="C22" s="6" t="str">
        <f aca="false">기준단가!D20</f>
        <v>호주산</v>
      </c>
      <c r="D22" s="6" t="str">
        <f aca="false">기준단가!E20</f>
        <v>냉장</v>
      </c>
      <c r="E22" s="14" t="n">
        <f aca="false">기준단가!G20</f>
        <v>39000</v>
      </c>
      <c r="F22" s="15"/>
      <c r="G22" s="15"/>
      <c r="H22" s="14" t="str">
        <f aca="false">IF(COUNT(F22:G22)=0,"",AVERAGE(F22:G22))</f>
        <v/>
      </c>
      <c r="I22" s="14" t="n">
        <f aca="false">ROUND(E22*(1+$C$3),-1)</f>
        <v>44850</v>
      </c>
      <c r="J22" s="16" t="str">
        <f aca="false">IF(H22="","",I22/H22-1)</f>
        <v/>
      </c>
      <c r="K22" s="17"/>
      <c r="L22" s="14" t="str">
        <f aca="false">IF(K22="","",K22*I22)</f>
        <v/>
      </c>
      <c r="M22" s="17"/>
    </row>
    <row r="23" customFormat="false" ht="15" hidden="false" customHeight="false" outlineLevel="0" collapsed="false">
      <c r="A23" s="9" t="str">
        <f aca="false">기준단가!B21</f>
        <v>돈뽀(메이플)</v>
      </c>
      <c r="B23" s="6" t="str">
        <f aca="false">기준단가!C21</f>
        <v>-</v>
      </c>
      <c r="C23" s="6" t="str">
        <f aca="false">기준단가!D21</f>
        <v>캐나다산</v>
      </c>
      <c r="D23" s="6" t="str">
        <f aca="false">기준단가!E21</f>
        <v>냉동</v>
      </c>
      <c r="E23" s="14" t="n">
        <f aca="false">기준단가!G21</f>
        <v>1950</v>
      </c>
      <c r="F23" s="15"/>
      <c r="G23" s="15"/>
      <c r="H23" s="14" t="str">
        <f aca="false">IF(COUNT(F23:G23)=0,"",AVERAGE(F23:G23))</f>
        <v/>
      </c>
      <c r="I23" s="14" t="n">
        <f aca="false">ROUND(E23*(1+$C$3),-1)</f>
        <v>2240</v>
      </c>
      <c r="J23" s="16" t="str">
        <f aca="false">IF(H23="","",I23/H23-1)</f>
        <v/>
      </c>
      <c r="K23" s="17"/>
      <c r="L23" s="14" t="str">
        <f aca="false">IF(K23="","",K23*I23)</f>
        <v/>
      </c>
      <c r="M23" s="17"/>
    </row>
    <row r="24" customFormat="false" ht="15" hidden="false" customHeight="false" outlineLevel="0" collapsed="false">
      <c r="A24" s="9" t="str">
        <f aca="false">기준단가!B22</f>
        <v>우차돌박이</v>
      </c>
      <c r="B24" s="6" t="str">
        <f aca="false">기준단가!C22</f>
        <v>EXCEL</v>
      </c>
      <c r="C24" s="6" t="str">
        <f aca="false">기준단가!D22</f>
        <v>미국산</v>
      </c>
      <c r="D24" s="6" t="str">
        <f aca="false">기준단가!E22</f>
        <v>냉동</v>
      </c>
      <c r="E24" s="14" t="n">
        <f aca="false">기준단가!G22</f>
        <v>24000</v>
      </c>
      <c r="F24" s="15"/>
      <c r="G24" s="15"/>
      <c r="H24" s="14" t="str">
        <f aca="false">IF(COUNT(F24:G24)=0,"",AVERAGE(F24:G24))</f>
        <v/>
      </c>
      <c r="I24" s="14" t="n">
        <f aca="false">ROUND(E24*(1+$C$3),-1)</f>
        <v>27600</v>
      </c>
      <c r="J24" s="16" t="str">
        <f aca="false">IF(H24="","",I24/H24-1)</f>
        <v/>
      </c>
      <c r="K24" s="17"/>
      <c r="L24" s="14" t="str">
        <f aca="false">IF(K24="","",K24*I24)</f>
        <v/>
      </c>
      <c r="M24" s="17"/>
    </row>
    <row r="26" customFormat="false" ht="15" hidden="false" customHeight="false" outlineLevel="0" collapsed="false">
      <c r="A26" s="3" t="s">
        <v>82</v>
      </c>
      <c r="L26" s="18" t="n">
        <f aca="false">SUM(L6:L24)</f>
        <v>0</v>
      </c>
    </row>
    <row r="28" customFormat="false" ht="15" hidden="false" customHeight="false" outlineLevel="0" collapsed="false">
      <c r="A28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6"/>
  </cols>
  <sheetData>
    <row r="1" customFormat="false" ht="19.4" hidden="false" customHeight="false" outlineLevel="0" collapsed="false">
      <c r="A1" s="1" t="s">
        <v>88</v>
      </c>
    </row>
    <row r="3" customFormat="false" ht="15" hidden="false" customHeight="false" outlineLevel="0" collapsed="false">
      <c r="A3" s="3" t="s">
        <v>71</v>
      </c>
      <c r="C3" s="13" t="n">
        <v>0.15</v>
      </c>
      <c r="D3" s="12" t="s">
        <v>72</v>
      </c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</row>
    <row r="6" customFormat="false" ht="15" hidden="false" customHeight="false" outlineLevel="0" collapsed="false">
      <c r="A6" s="9" t="str">
        <f aca="false">기준단가!B4</f>
        <v>돈목살(성산한방)</v>
      </c>
      <c r="B6" s="6" t="str">
        <f aca="false">기준단가!C4</f>
        <v>성산</v>
      </c>
      <c r="C6" s="6" t="str">
        <f aca="false">기준단가!D4</f>
        <v>국내산</v>
      </c>
      <c r="D6" s="6" t="str">
        <f aca="false">기준단가!E4</f>
        <v>냉장</v>
      </c>
      <c r="E6" s="14" t="n">
        <f aca="false">기준단가!G4</f>
        <v>18000</v>
      </c>
      <c r="F6" s="15"/>
      <c r="G6" s="15"/>
      <c r="H6" s="14" t="str">
        <f aca="false">IF(COUNT(F6:G6)=0,"",AVERAGE(F6:G6))</f>
        <v/>
      </c>
      <c r="I6" s="14" t="n">
        <f aca="false">ROUND(E6*(1+$C$3),-1)</f>
        <v>20700</v>
      </c>
      <c r="J6" s="16" t="str">
        <f aca="false">IF(H6="","",I6/H6-1)</f>
        <v/>
      </c>
      <c r="K6" s="17"/>
      <c r="L6" s="14" t="str">
        <f aca="false">IF(K6="","",K6*I6)</f>
        <v/>
      </c>
      <c r="M6" s="17"/>
    </row>
    <row r="7" customFormat="false" ht="15" hidden="false" customHeight="false" outlineLevel="0" collapsed="false">
      <c r="A7" s="9" t="str">
        <f aca="false">기준단가!B5</f>
        <v>돈미박삼겹살</v>
      </c>
      <c r="B7" s="6" t="str">
        <f aca="false">기준단가!C5</f>
        <v>성산</v>
      </c>
      <c r="C7" s="6" t="str">
        <f aca="false">기준단가!D5</f>
        <v>국내산</v>
      </c>
      <c r="D7" s="6" t="str">
        <f aca="false">기준단가!E5</f>
        <v>냉장</v>
      </c>
      <c r="E7" s="14" t="n">
        <f aca="false">기준단가!G5</f>
        <v>18000</v>
      </c>
      <c r="F7" s="15"/>
      <c r="G7" s="15"/>
      <c r="H7" s="14" t="str">
        <f aca="false">IF(COUNT(F7:G7)=0,"",AVERAGE(F7:G7))</f>
        <v/>
      </c>
      <c r="I7" s="14" t="n">
        <f aca="false">ROUND(E7*(1+$C$3),-1)</f>
        <v>20700</v>
      </c>
      <c r="J7" s="16" t="str">
        <f aca="false">IF(H7="","",I7/H7-1)</f>
        <v/>
      </c>
      <c r="K7" s="17"/>
      <c r="L7" s="14" t="str">
        <f aca="false">IF(K7="","",K7*I7)</f>
        <v/>
      </c>
      <c r="M7" s="17"/>
    </row>
    <row r="8" customFormat="false" ht="15" hidden="false" customHeight="false" outlineLevel="0" collapsed="false">
      <c r="A8" s="9" t="str">
        <f aca="false">기준단가!B6</f>
        <v>돈삼겹살</v>
      </c>
      <c r="B8" s="6" t="str">
        <f aca="false">기준단가!C6</f>
        <v>성산</v>
      </c>
      <c r="C8" s="6" t="str">
        <f aca="false">기준단가!D6</f>
        <v>국내산</v>
      </c>
      <c r="D8" s="6" t="str">
        <f aca="false">기준단가!E6</f>
        <v>냉장</v>
      </c>
      <c r="E8" s="14" t="n">
        <f aca="false">기준단가!G6</f>
        <v>18500</v>
      </c>
      <c r="F8" s="15"/>
      <c r="G8" s="15"/>
      <c r="H8" s="14" t="str">
        <f aca="false">IF(COUNT(F8:G8)=0,"",AVERAGE(F8:G8))</f>
        <v/>
      </c>
      <c r="I8" s="14" t="n">
        <f aca="false">ROUND(E8*(1+$C$3),-1)</f>
        <v>21280</v>
      </c>
      <c r="J8" s="16" t="str">
        <f aca="false">IF(H8="","",I8/H8-1)</f>
        <v/>
      </c>
      <c r="K8" s="17"/>
      <c r="L8" s="14" t="str">
        <f aca="false">IF(K8="","",K8*I8)</f>
        <v/>
      </c>
      <c r="M8" s="17"/>
    </row>
    <row r="9" customFormat="false" ht="15" hidden="false" customHeight="false" outlineLevel="0" collapsed="false">
      <c r="A9" s="9" t="str">
        <f aca="false">기준단가!B7</f>
        <v>오즈갈비</v>
      </c>
      <c r="B9" s="6" t="str">
        <f aca="false">기준단가!C7</f>
        <v>-</v>
      </c>
      <c r="C9" s="6" t="str">
        <f aca="false">기준단가!D7</f>
        <v>-</v>
      </c>
      <c r="D9" s="6" t="str">
        <f aca="false">기준단가!E7</f>
        <v>냉동</v>
      </c>
      <c r="E9" s="14" t="n">
        <f aca="false">기준단가!G7</f>
        <v>10000</v>
      </c>
      <c r="F9" s="15"/>
      <c r="G9" s="15"/>
      <c r="H9" s="14" t="str">
        <f aca="false">IF(COUNT(F9:G9)=0,"",AVERAGE(F9:G9))</f>
        <v/>
      </c>
      <c r="I9" s="14" t="n">
        <f aca="false">ROUND(E9*(1+$C$3),-1)</f>
        <v>11500</v>
      </c>
      <c r="J9" s="16" t="str">
        <f aca="false">IF(H9="","",I9/H9-1)</f>
        <v/>
      </c>
      <c r="K9" s="17"/>
      <c r="L9" s="14" t="str">
        <f aca="false">IF(K9="","",K9*I9)</f>
        <v/>
      </c>
      <c r="M9" s="17"/>
    </row>
    <row r="10" customFormat="false" ht="15" hidden="false" customHeight="false" outlineLevel="0" collapsed="false">
      <c r="A10" s="9" t="str">
        <f aca="false">기준단가!B8</f>
        <v>우볼살</v>
      </c>
      <c r="B10" s="6" t="str">
        <f aca="false">기준단가!C8</f>
        <v>KILCOY</v>
      </c>
      <c r="C10" s="6" t="str">
        <f aca="false">기준단가!D8</f>
        <v>호주산</v>
      </c>
      <c r="D10" s="6" t="str">
        <f aca="false">기준단가!E8</f>
        <v>냉동</v>
      </c>
      <c r="E10" s="14" t="n">
        <f aca="false">기준단가!G8</f>
        <v>14000</v>
      </c>
      <c r="F10" s="15"/>
      <c r="G10" s="15"/>
      <c r="H10" s="14" t="str">
        <f aca="false">IF(COUNT(F10:G10)=0,"",AVERAGE(F10:G10))</f>
        <v/>
      </c>
      <c r="I10" s="14" t="n">
        <f aca="false">ROUND(E10*(1+$C$3),-1)</f>
        <v>16100</v>
      </c>
      <c r="J10" s="16" t="str">
        <f aca="false">IF(H10="","",I10/H10-1)</f>
        <v/>
      </c>
      <c r="K10" s="17"/>
      <c r="L10" s="14" t="str">
        <f aca="false">IF(K10="","",K10*I10)</f>
        <v/>
      </c>
      <c r="M10" s="17"/>
    </row>
    <row r="11" customFormat="false" ht="15" hidden="false" customHeight="false" outlineLevel="0" collapsed="false">
      <c r="A11" s="9" t="str">
        <f aca="false">기준단가!B9</f>
        <v>우볼살(작업)</v>
      </c>
      <c r="B11" s="6" t="str">
        <f aca="false">기준단가!C9</f>
        <v>AMH</v>
      </c>
      <c r="C11" s="6" t="str">
        <f aca="false">기준단가!D9</f>
        <v>호주산</v>
      </c>
      <c r="D11" s="6" t="str">
        <f aca="false">기준단가!E9</f>
        <v>냉동</v>
      </c>
      <c r="E11" s="14" t="n">
        <f aca="false">기준단가!G9</f>
        <v>11000</v>
      </c>
      <c r="F11" s="15"/>
      <c r="G11" s="15"/>
      <c r="H11" s="14" t="str">
        <f aca="false">IF(COUNT(F11:G11)=0,"",AVERAGE(F11:G11))</f>
        <v/>
      </c>
      <c r="I11" s="14" t="n">
        <f aca="false">ROUND(E11*(1+$C$3),-1)</f>
        <v>12650</v>
      </c>
      <c r="J11" s="16" t="str">
        <f aca="false">IF(H11="","",I11/H11-1)</f>
        <v/>
      </c>
      <c r="K11" s="17"/>
      <c r="L11" s="14" t="str">
        <f aca="false">IF(K11="","",K11*I11)</f>
        <v/>
      </c>
      <c r="M11" s="17"/>
    </row>
    <row r="12" customFormat="false" ht="15" hidden="false" customHeight="false" outlineLevel="0" collapsed="false">
      <c r="A12" s="9" t="str">
        <f aca="false">기준단가!B10</f>
        <v>돈삼겹살</v>
      </c>
      <c r="B12" s="6" t="str">
        <f aca="false">기준단가!C10</f>
        <v>MARCHER</v>
      </c>
      <c r="C12" s="6" t="str">
        <f aca="false">기준단가!D10</f>
        <v>오스트리아</v>
      </c>
      <c r="D12" s="6" t="str">
        <f aca="false">기준단가!E10</f>
        <v>냉동</v>
      </c>
      <c r="E12" s="14" t="n">
        <f aca="false">기준단가!G10</f>
        <v>6000</v>
      </c>
      <c r="F12" s="15"/>
      <c r="G12" s="15"/>
      <c r="H12" s="14" t="str">
        <f aca="false">IF(COUNT(F12:G12)=0,"",AVERAGE(F12:G12))</f>
        <v/>
      </c>
      <c r="I12" s="14" t="n">
        <f aca="false">ROUND(E12*(1+$C$3),-1)</f>
        <v>6900</v>
      </c>
      <c r="J12" s="16" t="str">
        <f aca="false">IF(H12="","",I12/H12-1)</f>
        <v/>
      </c>
      <c r="K12" s="17"/>
      <c r="L12" s="14" t="str">
        <f aca="false">IF(K12="","",K12*I12)</f>
        <v/>
      </c>
      <c r="M12" s="17"/>
    </row>
    <row r="13" customFormat="false" ht="15" hidden="false" customHeight="false" outlineLevel="0" collapsed="false">
      <c r="A13" s="9" t="str">
        <f aca="false">기준단가!B11</f>
        <v>와규등심</v>
      </c>
      <c r="B13" s="6" t="str">
        <f aca="false">기준단가!C11</f>
        <v>-</v>
      </c>
      <c r="C13" s="6" t="str">
        <f aca="false">기준단가!D11</f>
        <v>-</v>
      </c>
      <c r="D13" s="6" t="str">
        <f aca="false">기준단가!E11</f>
        <v>-</v>
      </c>
      <c r="E13" s="14" t="n">
        <f aca="false">기준단가!G11</f>
        <v>43000</v>
      </c>
      <c r="F13" s="15"/>
      <c r="G13" s="15"/>
      <c r="H13" s="14" t="str">
        <f aca="false">IF(COUNT(F13:G13)=0,"",AVERAGE(F13:G13))</f>
        <v/>
      </c>
      <c r="I13" s="14" t="n">
        <f aca="false">ROUND(E13*(1+$C$3),-1)</f>
        <v>49450</v>
      </c>
      <c r="J13" s="16" t="str">
        <f aca="false">IF(H13="","",I13/H13-1)</f>
        <v/>
      </c>
      <c r="K13" s="17"/>
      <c r="L13" s="14" t="str">
        <f aca="false">IF(K13="","",K13*I13)</f>
        <v/>
      </c>
      <c r="M13" s="17"/>
    </row>
    <row r="14" customFormat="false" ht="15" hidden="false" customHeight="false" outlineLevel="0" collapsed="false">
      <c r="A14" s="9" t="str">
        <f aca="false">기준단가!B12</f>
        <v>우곱창(곡물)</v>
      </c>
      <c r="B14" s="6" t="str">
        <f aca="false">기준단가!C12</f>
        <v>OAKEY</v>
      </c>
      <c r="C14" s="6" t="str">
        <f aca="false">기준단가!D12</f>
        <v>호주산</v>
      </c>
      <c r="D14" s="6" t="str">
        <f aca="false">기준단가!E12</f>
        <v>냉동</v>
      </c>
      <c r="E14" s="14" t="n">
        <f aca="false">기준단가!G12</f>
        <v>4500</v>
      </c>
      <c r="F14" s="15"/>
      <c r="G14" s="15"/>
      <c r="H14" s="14" t="str">
        <f aca="false">IF(COUNT(F14:G14)=0,"",AVERAGE(F14:G14))</f>
        <v/>
      </c>
      <c r="I14" s="14" t="n">
        <f aca="false">ROUND(E14*(1+$C$3),-1)</f>
        <v>5180</v>
      </c>
      <c r="J14" s="16" t="str">
        <f aca="false">IF(H14="","",I14/H14-1)</f>
        <v/>
      </c>
      <c r="K14" s="17"/>
      <c r="L14" s="14" t="str">
        <f aca="false">IF(K14="","",K14*I14)</f>
        <v/>
      </c>
      <c r="M14" s="17"/>
    </row>
    <row r="15" customFormat="false" ht="15" hidden="false" customHeight="false" outlineLevel="0" collapsed="false">
      <c r="A15" s="9" t="str">
        <f aca="false">기준단가!B13</f>
        <v>우깐양</v>
      </c>
      <c r="B15" s="6" t="str">
        <f aca="false">기준단가!C13</f>
        <v>TEYS</v>
      </c>
      <c r="C15" s="6" t="str">
        <f aca="false">기준단가!D13</f>
        <v>호주산</v>
      </c>
      <c r="D15" s="6" t="str">
        <f aca="false">기준단가!E13</f>
        <v>냉동</v>
      </c>
      <c r="E15" s="14" t="n">
        <f aca="false">기준단가!G13</f>
        <v>4700</v>
      </c>
      <c r="F15" s="15"/>
      <c r="G15" s="15"/>
      <c r="H15" s="14" t="str">
        <f aca="false">IF(COUNT(F15:G15)=0,"",AVERAGE(F15:G15))</f>
        <v/>
      </c>
      <c r="I15" s="14" t="n">
        <f aca="false">ROUND(E15*(1+$C$3),-1)</f>
        <v>5410</v>
      </c>
      <c r="J15" s="16" t="str">
        <f aca="false">IF(H15="","",I15/H15-1)</f>
        <v/>
      </c>
      <c r="K15" s="17"/>
      <c r="L15" s="14" t="str">
        <f aca="false">IF(K15="","",K15*I15)</f>
        <v/>
      </c>
      <c r="M15" s="17"/>
    </row>
    <row r="16" customFormat="false" ht="15" hidden="false" customHeight="false" outlineLevel="0" collapsed="false">
      <c r="A16" s="9" t="str">
        <f aca="false">기준단가!B14</f>
        <v>돈가브리살</v>
      </c>
      <c r="B16" s="6" t="str">
        <f aca="false">기준단가!C14</f>
        <v>-</v>
      </c>
      <c r="C16" s="6" t="str">
        <f aca="false">기준단가!D14</f>
        <v>-</v>
      </c>
      <c r="D16" s="6" t="str">
        <f aca="false">기준단가!E14</f>
        <v>냉동</v>
      </c>
      <c r="E16" s="14" t="n">
        <f aca="false">기준단가!G14</f>
        <v>22000</v>
      </c>
      <c r="F16" s="15"/>
      <c r="G16" s="15"/>
      <c r="H16" s="14" t="str">
        <f aca="false">IF(COUNT(F16:G16)=0,"",AVERAGE(F16:G16))</f>
        <v/>
      </c>
      <c r="I16" s="14" t="n">
        <f aca="false">ROUND(E16*(1+$C$3),-1)</f>
        <v>25300</v>
      </c>
      <c r="J16" s="16" t="str">
        <f aca="false">IF(H16="","",I16/H16-1)</f>
        <v/>
      </c>
      <c r="K16" s="17"/>
      <c r="L16" s="14" t="str">
        <f aca="false">IF(K16="","",K16*I16)</f>
        <v/>
      </c>
      <c r="M16" s="17"/>
    </row>
    <row r="17" customFormat="false" ht="15" hidden="false" customHeight="false" outlineLevel="0" collapsed="false">
      <c r="A17" s="9" t="str">
        <f aca="false">기준단가!B15</f>
        <v>돈항정살</v>
      </c>
      <c r="B17" s="6" t="str">
        <f aca="false">기준단가!C15</f>
        <v>-</v>
      </c>
      <c r="C17" s="6" t="str">
        <f aca="false">기준단가!D15</f>
        <v>-</v>
      </c>
      <c r="D17" s="6" t="str">
        <f aca="false">기준단가!E15</f>
        <v>냉동</v>
      </c>
      <c r="E17" s="14" t="n">
        <f aca="false">기준단가!G15</f>
        <v>31000</v>
      </c>
      <c r="F17" s="15"/>
      <c r="G17" s="15"/>
      <c r="H17" s="14" t="str">
        <f aca="false">IF(COUNT(F17:G17)=0,"",AVERAGE(F17:G17))</f>
        <v/>
      </c>
      <c r="I17" s="14" t="n">
        <f aca="false">ROUND(E17*(1+$C$3),-1)</f>
        <v>35650</v>
      </c>
      <c r="J17" s="16" t="str">
        <f aca="false">IF(H17="","",I17/H17-1)</f>
        <v/>
      </c>
      <c r="K17" s="17"/>
      <c r="L17" s="14" t="str">
        <f aca="false">IF(K17="","",K17*I17)</f>
        <v/>
      </c>
      <c r="M17" s="17"/>
    </row>
    <row r="18" customFormat="false" ht="15" hidden="false" customHeight="false" outlineLevel="0" collapsed="false">
      <c r="A18" s="9" t="str">
        <f aca="false">기준단가!B16</f>
        <v>돈미사태</v>
      </c>
      <c r="B18" s="6" t="str">
        <f aca="false">기준단가!C16</f>
        <v>-</v>
      </c>
      <c r="C18" s="6" t="str">
        <f aca="false">기준단가!D16</f>
        <v>국내산</v>
      </c>
      <c r="D18" s="6" t="str">
        <f aca="false">기준단가!E16</f>
        <v>냉장</v>
      </c>
      <c r="E18" s="14" t="n">
        <f aca="false">기준단가!G16</f>
        <v>8500</v>
      </c>
      <c r="F18" s="15"/>
      <c r="G18" s="15"/>
      <c r="H18" s="14" t="str">
        <f aca="false">IF(COUNT(F18:G18)=0,"",AVERAGE(F18:G18))</f>
        <v/>
      </c>
      <c r="I18" s="14" t="n">
        <f aca="false">ROUND(E18*(1+$C$3),-1)</f>
        <v>9780</v>
      </c>
      <c r="J18" s="16" t="str">
        <f aca="false">IF(H18="","",I18/H18-1)</f>
        <v/>
      </c>
      <c r="K18" s="17"/>
      <c r="L18" s="14" t="str">
        <f aca="false">IF(K18="","",K18*I18)</f>
        <v/>
      </c>
      <c r="M18" s="17"/>
    </row>
    <row r="19" customFormat="false" ht="15" hidden="false" customHeight="false" outlineLevel="0" collapsed="false">
      <c r="A19" s="9" t="str">
        <f aca="false">기준단가!B17</f>
        <v>우삼겹양지</v>
      </c>
      <c r="B19" s="6" t="str">
        <f aca="false">기준단가!C17</f>
        <v>IBP</v>
      </c>
      <c r="C19" s="6" t="str">
        <f aca="false">기준단가!D17</f>
        <v>미국산</v>
      </c>
      <c r="D19" s="6" t="str">
        <f aca="false">기준단가!E17</f>
        <v>냉동</v>
      </c>
      <c r="E19" s="14" t="n">
        <f aca="false">기준단가!G17</f>
        <v>9500</v>
      </c>
      <c r="F19" s="15"/>
      <c r="G19" s="15"/>
      <c r="H19" s="14" t="str">
        <f aca="false">IF(COUNT(F19:G19)=0,"",AVERAGE(F19:G19))</f>
        <v/>
      </c>
      <c r="I19" s="14" t="n">
        <f aca="false">ROUND(E19*(1+$C$3),-1)</f>
        <v>10930</v>
      </c>
      <c r="J19" s="16" t="str">
        <f aca="false">IF(H19="","",I19/H19-1)</f>
        <v/>
      </c>
      <c r="K19" s="17"/>
      <c r="L19" s="14" t="str">
        <f aca="false">IF(K19="","",K19*I19)</f>
        <v/>
      </c>
      <c r="M19" s="17"/>
    </row>
    <row r="20" customFormat="false" ht="15" hidden="false" customHeight="false" outlineLevel="0" collapsed="false">
      <c r="A20" s="9" t="str">
        <f aca="false">기준단가!B18</f>
        <v>돈A지방</v>
      </c>
      <c r="B20" s="6" t="str">
        <f aca="false">기준단가!C18</f>
        <v>-</v>
      </c>
      <c r="C20" s="6" t="str">
        <f aca="false">기준단가!D18</f>
        <v>-</v>
      </c>
      <c r="D20" s="6" t="str">
        <f aca="false">기준단가!E18</f>
        <v>냉동</v>
      </c>
      <c r="E20" s="14" t="n">
        <f aca="false">기준단가!G18</f>
        <v>2400</v>
      </c>
      <c r="F20" s="15"/>
      <c r="G20" s="15"/>
      <c r="H20" s="14" t="str">
        <f aca="false">IF(COUNT(F20:G20)=0,"",AVERAGE(F20:G20))</f>
        <v/>
      </c>
      <c r="I20" s="14" t="n">
        <f aca="false">ROUND(E20*(1+$C$3),-1)</f>
        <v>2760</v>
      </c>
      <c r="J20" s="16" t="str">
        <f aca="false">IF(H20="","",I20/H20-1)</f>
        <v/>
      </c>
      <c r="K20" s="17"/>
      <c r="L20" s="14" t="str">
        <f aca="false">IF(K20="","",K20*I20)</f>
        <v/>
      </c>
      <c r="M20" s="17"/>
    </row>
    <row r="21" customFormat="false" ht="15" hidden="false" customHeight="false" outlineLevel="0" collapsed="false">
      <c r="A21" s="9" t="str">
        <f aca="false">기준단가!B19</f>
        <v>돈갈비</v>
      </c>
      <c r="B21" s="6" t="str">
        <f aca="false">기준단가!C19</f>
        <v>-</v>
      </c>
      <c r="C21" s="6" t="str">
        <f aca="false">기준단가!D19</f>
        <v>-</v>
      </c>
      <c r="D21" s="6" t="str">
        <f aca="false">기준단가!E19</f>
        <v>냉장</v>
      </c>
      <c r="E21" s="14" t="n">
        <f aca="false">기준단가!G19</f>
        <v>7500</v>
      </c>
      <c r="F21" s="15"/>
      <c r="G21" s="15"/>
      <c r="H21" s="14" t="str">
        <f aca="false">IF(COUNT(F21:G21)=0,"",AVERAGE(F21:G21))</f>
        <v/>
      </c>
      <c r="I21" s="14" t="n">
        <f aca="false">ROUND(E21*(1+$C$3),-1)</f>
        <v>8630</v>
      </c>
      <c r="J21" s="16" t="str">
        <f aca="false">IF(H21="","",I21/H21-1)</f>
        <v/>
      </c>
      <c r="K21" s="17"/>
      <c r="L21" s="14" t="str">
        <f aca="false">IF(K21="","",K21*I21)</f>
        <v/>
      </c>
      <c r="M21" s="17"/>
    </row>
    <row r="22" customFormat="false" ht="15" hidden="false" customHeight="false" outlineLevel="0" collapsed="false">
      <c r="A22" s="9" t="str">
        <f aca="false">기준단가!B20</f>
        <v>우안심살(A)</v>
      </c>
      <c r="B22" s="6" t="str">
        <f aca="false">기준단가!C20</f>
        <v>TEYS</v>
      </c>
      <c r="C22" s="6" t="str">
        <f aca="false">기준단가!D20</f>
        <v>호주산</v>
      </c>
      <c r="D22" s="6" t="str">
        <f aca="false">기준단가!E20</f>
        <v>냉장</v>
      </c>
      <c r="E22" s="14" t="n">
        <f aca="false">기준단가!G20</f>
        <v>39000</v>
      </c>
      <c r="F22" s="15"/>
      <c r="G22" s="15"/>
      <c r="H22" s="14" t="str">
        <f aca="false">IF(COUNT(F22:G22)=0,"",AVERAGE(F22:G22))</f>
        <v/>
      </c>
      <c r="I22" s="14" t="n">
        <f aca="false">ROUND(E22*(1+$C$3),-1)</f>
        <v>44850</v>
      </c>
      <c r="J22" s="16" t="str">
        <f aca="false">IF(H22="","",I22/H22-1)</f>
        <v/>
      </c>
      <c r="K22" s="17"/>
      <c r="L22" s="14" t="str">
        <f aca="false">IF(K22="","",K22*I22)</f>
        <v/>
      </c>
      <c r="M22" s="17"/>
    </row>
    <row r="23" customFormat="false" ht="15" hidden="false" customHeight="false" outlineLevel="0" collapsed="false">
      <c r="A23" s="9" t="str">
        <f aca="false">기준단가!B21</f>
        <v>돈뽀(메이플)</v>
      </c>
      <c r="B23" s="6" t="str">
        <f aca="false">기준단가!C21</f>
        <v>-</v>
      </c>
      <c r="C23" s="6" t="str">
        <f aca="false">기준단가!D21</f>
        <v>캐나다산</v>
      </c>
      <c r="D23" s="6" t="str">
        <f aca="false">기준단가!E21</f>
        <v>냉동</v>
      </c>
      <c r="E23" s="14" t="n">
        <f aca="false">기준단가!G21</f>
        <v>1950</v>
      </c>
      <c r="F23" s="15"/>
      <c r="G23" s="15"/>
      <c r="H23" s="14" t="str">
        <f aca="false">IF(COUNT(F23:G23)=0,"",AVERAGE(F23:G23))</f>
        <v/>
      </c>
      <c r="I23" s="14" t="n">
        <f aca="false">ROUND(E23*(1+$C$3),-1)</f>
        <v>2240</v>
      </c>
      <c r="J23" s="16" t="str">
        <f aca="false">IF(H23="","",I23/H23-1)</f>
        <v/>
      </c>
      <c r="K23" s="17"/>
      <c r="L23" s="14" t="str">
        <f aca="false">IF(K23="","",K23*I23)</f>
        <v/>
      </c>
      <c r="M23" s="17"/>
    </row>
    <row r="24" customFormat="false" ht="15" hidden="false" customHeight="false" outlineLevel="0" collapsed="false">
      <c r="A24" s="9" t="str">
        <f aca="false">기준단가!B22</f>
        <v>우차돌박이</v>
      </c>
      <c r="B24" s="6" t="str">
        <f aca="false">기준단가!C22</f>
        <v>EXCEL</v>
      </c>
      <c r="C24" s="6" t="str">
        <f aca="false">기준단가!D22</f>
        <v>미국산</v>
      </c>
      <c r="D24" s="6" t="str">
        <f aca="false">기준단가!E22</f>
        <v>냉동</v>
      </c>
      <c r="E24" s="14" t="n">
        <f aca="false">기준단가!G22</f>
        <v>24000</v>
      </c>
      <c r="F24" s="15"/>
      <c r="G24" s="15"/>
      <c r="H24" s="14" t="str">
        <f aca="false">IF(COUNT(F24:G24)=0,"",AVERAGE(F24:G24))</f>
        <v/>
      </c>
      <c r="I24" s="14" t="n">
        <f aca="false">ROUND(E24*(1+$C$3),-1)</f>
        <v>27600</v>
      </c>
      <c r="J24" s="16" t="str">
        <f aca="false">IF(H24="","",I24/H24-1)</f>
        <v/>
      </c>
      <c r="K24" s="17"/>
      <c r="L24" s="14" t="str">
        <f aca="false">IF(K24="","",K24*I24)</f>
        <v/>
      </c>
      <c r="M24" s="17"/>
    </row>
    <row r="26" customFormat="false" ht="15" hidden="false" customHeight="false" outlineLevel="0" collapsed="false">
      <c r="A26" s="3" t="s">
        <v>82</v>
      </c>
      <c r="L26" s="18" t="n">
        <f aca="false">SUM(L6:L24)</f>
        <v>0</v>
      </c>
    </row>
    <row r="28" customFormat="false" ht="15" hidden="false" customHeight="false" outlineLevel="0" collapsed="false">
      <c r="A28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26"/>
  </cols>
  <sheetData>
    <row r="1" customFormat="false" ht="19.4" hidden="false" customHeight="false" outlineLevel="0" collapsed="false">
      <c r="A1" s="1" t="s">
        <v>89</v>
      </c>
    </row>
    <row r="3" customFormat="false" ht="15" hidden="false" customHeight="false" outlineLevel="0" collapsed="false">
      <c r="A3" s="3" t="s">
        <v>71</v>
      </c>
      <c r="C3" s="13" t="n">
        <v>0.15</v>
      </c>
      <c r="D3" s="12" t="s">
        <v>72</v>
      </c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</row>
    <row r="6" customFormat="false" ht="15" hidden="false" customHeight="false" outlineLevel="0" collapsed="false">
      <c r="A6" s="9" t="str">
        <f aca="false">기준단가!B4</f>
        <v>돈목살(성산한방)</v>
      </c>
      <c r="B6" s="6" t="str">
        <f aca="false">기준단가!C4</f>
        <v>성산</v>
      </c>
      <c r="C6" s="6" t="str">
        <f aca="false">기준단가!D4</f>
        <v>국내산</v>
      </c>
      <c r="D6" s="6" t="str">
        <f aca="false">기준단가!E4</f>
        <v>냉장</v>
      </c>
      <c r="E6" s="14" t="n">
        <f aca="false">기준단가!G4</f>
        <v>18000</v>
      </c>
      <c r="F6" s="15"/>
      <c r="G6" s="15"/>
      <c r="H6" s="14" t="str">
        <f aca="false">IF(COUNT(F6:G6)=0,"",AVERAGE(F6:G6))</f>
        <v/>
      </c>
      <c r="I6" s="14" t="n">
        <f aca="false">ROUND(E6*(1+$C$3),-1)</f>
        <v>20700</v>
      </c>
      <c r="J6" s="16" t="str">
        <f aca="false">IF(H6="","",I6/H6-1)</f>
        <v/>
      </c>
      <c r="K6" s="17"/>
      <c r="L6" s="14" t="str">
        <f aca="false">IF(K6="","",K6*I6)</f>
        <v/>
      </c>
      <c r="M6" s="17"/>
    </row>
    <row r="7" customFormat="false" ht="15" hidden="false" customHeight="false" outlineLevel="0" collapsed="false">
      <c r="A7" s="9" t="str">
        <f aca="false">기준단가!B5</f>
        <v>돈미박삼겹살</v>
      </c>
      <c r="B7" s="6" t="str">
        <f aca="false">기준단가!C5</f>
        <v>성산</v>
      </c>
      <c r="C7" s="6" t="str">
        <f aca="false">기준단가!D5</f>
        <v>국내산</v>
      </c>
      <c r="D7" s="6" t="str">
        <f aca="false">기준단가!E5</f>
        <v>냉장</v>
      </c>
      <c r="E7" s="14" t="n">
        <f aca="false">기준단가!G5</f>
        <v>18000</v>
      </c>
      <c r="F7" s="15"/>
      <c r="G7" s="15"/>
      <c r="H7" s="14" t="str">
        <f aca="false">IF(COUNT(F7:G7)=0,"",AVERAGE(F7:G7))</f>
        <v/>
      </c>
      <c r="I7" s="14" t="n">
        <f aca="false">ROUND(E7*(1+$C$3),-1)</f>
        <v>20700</v>
      </c>
      <c r="J7" s="16" t="str">
        <f aca="false">IF(H7="","",I7/H7-1)</f>
        <v/>
      </c>
      <c r="K7" s="17"/>
      <c r="L7" s="14" t="str">
        <f aca="false">IF(K7="","",K7*I7)</f>
        <v/>
      </c>
      <c r="M7" s="17"/>
    </row>
    <row r="8" customFormat="false" ht="15" hidden="false" customHeight="false" outlineLevel="0" collapsed="false">
      <c r="A8" s="9" t="str">
        <f aca="false">기준단가!B6</f>
        <v>돈삼겹살</v>
      </c>
      <c r="B8" s="6" t="str">
        <f aca="false">기준단가!C6</f>
        <v>성산</v>
      </c>
      <c r="C8" s="6" t="str">
        <f aca="false">기준단가!D6</f>
        <v>국내산</v>
      </c>
      <c r="D8" s="6" t="str">
        <f aca="false">기준단가!E6</f>
        <v>냉장</v>
      </c>
      <c r="E8" s="14" t="n">
        <f aca="false">기준단가!G6</f>
        <v>18500</v>
      </c>
      <c r="F8" s="15"/>
      <c r="G8" s="15"/>
      <c r="H8" s="14" t="str">
        <f aca="false">IF(COUNT(F8:G8)=0,"",AVERAGE(F8:G8))</f>
        <v/>
      </c>
      <c r="I8" s="14" t="n">
        <f aca="false">ROUND(E8*(1+$C$3),-1)</f>
        <v>21280</v>
      </c>
      <c r="J8" s="16" t="str">
        <f aca="false">IF(H8="","",I8/H8-1)</f>
        <v/>
      </c>
      <c r="K8" s="17"/>
      <c r="L8" s="14" t="str">
        <f aca="false">IF(K8="","",K8*I8)</f>
        <v/>
      </c>
      <c r="M8" s="17"/>
    </row>
    <row r="9" customFormat="false" ht="15" hidden="false" customHeight="false" outlineLevel="0" collapsed="false">
      <c r="A9" s="9" t="str">
        <f aca="false">기준단가!B7</f>
        <v>오즈갈비</v>
      </c>
      <c r="B9" s="6" t="str">
        <f aca="false">기준단가!C7</f>
        <v>-</v>
      </c>
      <c r="C9" s="6" t="str">
        <f aca="false">기준단가!D7</f>
        <v>-</v>
      </c>
      <c r="D9" s="6" t="str">
        <f aca="false">기준단가!E7</f>
        <v>냉동</v>
      </c>
      <c r="E9" s="14" t="n">
        <f aca="false">기준단가!G7</f>
        <v>10000</v>
      </c>
      <c r="F9" s="15"/>
      <c r="G9" s="15"/>
      <c r="H9" s="14" t="str">
        <f aca="false">IF(COUNT(F9:G9)=0,"",AVERAGE(F9:G9))</f>
        <v/>
      </c>
      <c r="I9" s="14" t="n">
        <f aca="false">ROUND(E9*(1+$C$3),-1)</f>
        <v>11500</v>
      </c>
      <c r="J9" s="16" t="str">
        <f aca="false">IF(H9="","",I9/H9-1)</f>
        <v/>
      </c>
      <c r="K9" s="17"/>
      <c r="L9" s="14" t="str">
        <f aca="false">IF(K9="","",K9*I9)</f>
        <v/>
      </c>
      <c r="M9" s="17"/>
    </row>
    <row r="10" customFormat="false" ht="15" hidden="false" customHeight="false" outlineLevel="0" collapsed="false">
      <c r="A10" s="9" t="str">
        <f aca="false">기준단가!B8</f>
        <v>우볼살</v>
      </c>
      <c r="B10" s="6" t="str">
        <f aca="false">기준단가!C8</f>
        <v>KILCOY</v>
      </c>
      <c r="C10" s="6" t="str">
        <f aca="false">기준단가!D8</f>
        <v>호주산</v>
      </c>
      <c r="D10" s="6" t="str">
        <f aca="false">기준단가!E8</f>
        <v>냉동</v>
      </c>
      <c r="E10" s="14" t="n">
        <f aca="false">기준단가!G8</f>
        <v>14000</v>
      </c>
      <c r="F10" s="15"/>
      <c r="G10" s="15"/>
      <c r="H10" s="14" t="str">
        <f aca="false">IF(COUNT(F10:G10)=0,"",AVERAGE(F10:G10))</f>
        <v/>
      </c>
      <c r="I10" s="14" t="n">
        <f aca="false">ROUND(E10*(1+$C$3),-1)</f>
        <v>16100</v>
      </c>
      <c r="J10" s="16" t="str">
        <f aca="false">IF(H10="","",I10/H10-1)</f>
        <v/>
      </c>
      <c r="K10" s="17"/>
      <c r="L10" s="14" t="str">
        <f aca="false">IF(K10="","",K10*I10)</f>
        <v/>
      </c>
      <c r="M10" s="17"/>
    </row>
    <row r="11" customFormat="false" ht="15" hidden="false" customHeight="false" outlineLevel="0" collapsed="false">
      <c r="A11" s="9" t="str">
        <f aca="false">기준단가!B9</f>
        <v>우볼살(작업)</v>
      </c>
      <c r="B11" s="6" t="str">
        <f aca="false">기준단가!C9</f>
        <v>AMH</v>
      </c>
      <c r="C11" s="6" t="str">
        <f aca="false">기준단가!D9</f>
        <v>호주산</v>
      </c>
      <c r="D11" s="6" t="str">
        <f aca="false">기준단가!E9</f>
        <v>냉동</v>
      </c>
      <c r="E11" s="14" t="n">
        <f aca="false">기준단가!G9</f>
        <v>11000</v>
      </c>
      <c r="F11" s="15"/>
      <c r="G11" s="15"/>
      <c r="H11" s="14" t="str">
        <f aca="false">IF(COUNT(F11:G11)=0,"",AVERAGE(F11:G11))</f>
        <v/>
      </c>
      <c r="I11" s="14" t="n">
        <f aca="false">ROUND(E11*(1+$C$3),-1)</f>
        <v>12650</v>
      </c>
      <c r="J11" s="16" t="str">
        <f aca="false">IF(H11="","",I11/H11-1)</f>
        <v/>
      </c>
      <c r="K11" s="17"/>
      <c r="L11" s="14" t="str">
        <f aca="false">IF(K11="","",K11*I11)</f>
        <v/>
      </c>
      <c r="M11" s="17"/>
    </row>
    <row r="12" customFormat="false" ht="15" hidden="false" customHeight="false" outlineLevel="0" collapsed="false">
      <c r="A12" s="9" t="str">
        <f aca="false">기준단가!B10</f>
        <v>돈삼겹살</v>
      </c>
      <c r="B12" s="6" t="str">
        <f aca="false">기준단가!C10</f>
        <v>MARCHER</v>
      </c>
      <c r="C12" s="6" t="str">
        <f aca="false">기준단가!D10</f>
        <v>오스트리아</v>
      </c>
      <c r="D12" s="6" t="str">
        <f aca="false">기준단가!E10</f>
        <v>냉동</v>
      </c>
      <c r="E12" s="14" t="n">
        <f aca="false">기준단가!G10</f>
        <v>6000</v>
      </c>
      <c r="F12" s="15"/>
      <c r="G12" s="15"/>
      <c r="H12" s="14" t="str">
        <f aca="false">IF(COUNT(F12:G12)=0,"",AVERAGE(F12:G12))</f>
        <v/>
      </c>
      <c r="I12" s="14" t="n">
        <f aca="false">ROUND(E12*(1+$C$3),-1)</f>
        <v>6900</v>
      </c>
      <c r="J12" s="16" t="str">
        <f aca="false">IF(H12="","",I12/H12-1)</f>
        <v/>
      </c>
      <c r="K12" s="17"/>
      <c r="L12" s="14" t="str">
        <f aca="false">IF(K12="","",K12*I12)</f>
        <v/>
      </c>
      <c r="M12" s="17"/>
    </row>
    <row r="13" customFormat="false" ht="15" hidden="false" customHeight="false" outlineLevel="0" collapsed="false">
      <c r="A13" s="9" t="str">
        <f aca="false">기준단가!B11</f>
        <v>와규등심</v>
      </c>
      <c r="B13" s="6" t="str">
        <f aca="false">기준단가!C11</f>
        <v>-</v>
      </c>
      <c r="C13" s="6" t="str">
        <f aca="false">기준단가!D11</f>
        <v>-</v>
      </c>
      <c r="D13" s="6" t="str">
        <f aca="false">기준단가!E11</f>
        <v>-</v>
      </c>
      <c r="E13" s="14" t="n">
        <f aca="false">기준단가!G11</f>
        <v>43000</v>
      </c>
      <c r="F13" s="15"/>
      <c r="G13" s="15"/>
      <c r="H13" s="14" t="str">
        <f aca="false">IF(COUNT(F13:G13)=0,"",AVERAGE(F13:G13))</f>
        <v/>
      </c>
      <c r="I13" s="14" t="n">
        <f aca="false">ROUND(E13*(1+$C$3),-1)</f>
        <v>49450</v>
      </c>
      <c r="J13" s="16" t="str">
        <f aca="false">IF(H13="","",I13/H13-1)</f>
        <v/>
      </c>
      <c r="K13" s="17"/>
      <c r="L13" s="14" t="str">
        <f aca="false">IF(K13="","",K13*I13)</f>
        <v/>
      </c>
      <c r="M13" s="17"/>
    </row>
    <row r="14" customFormat="false" ht="15" hidden="false" customHeight="false" outlineLevel="0" collapsed="false">
      <c r="A14" s="9" t="str">
        <f aca="false">기준단가!B12</f>
        <v>우곱창(곡물)</v>
      </c>
      <c r="B14" s="6" t="str">
        <f aca="false">기준단가!C12</f>
        <v>OAKEY</v>
      </c>
      <c r="C14" s="6" t="str">
        <f aca="false">기준단가!D12</f>
        <v>호주산</v>
      </c>
      <c r="D14" s="6" t="str">
        <f aca="false">기준단가!E12</f>
        <v>냉동</v>
      </c>
      <c r="E14" s="14" t="n">
        <f aca="false">기준단가!G12</f>
        <v>4500</v>
      </c>
      <c r="F14" s="15"/>
      <c r="G14" s="15"/>
      <c r="H14" s="14" t="str">
        <f aca="false">IF(COUNT(F14:G14)=0,"",AVERAGE(F14:G14))</f>
        <v/>
      </c>
      <c r="I14" s="14" t="n">
        <f aca="false">ROUND(E14*(1+$C$3),-1)</f>
        <v>5180</v>
      </c>
      <c r="J14" s="16" t="str">
        <f aca="false">IF(H14="","",I14/H14-1)</f>
        <v/>
      </c>
      <c r="K14" s="17"/>
      <c r="L14" s="14" t="str">
        <f aca="false">IF(K14="","",K14*I14)</f>
        <v/>
      </c>
      <c r="M14" s="17"/>
    </row>
    <row r="15" customFormat="false" ht="15" hidden="false" customHeight="false" outlineLevel="0" collapsed="false">
      <c r="A15" s="9" t="str">
        <f aca="false">기준단가!B13</f>
        <v>우깐양</v>
      </c>
      <c r="B15" s="6" t="str">
        <f aca="false">기준단가!C13</f>
        <v>TEYS</v>
      </c>
      <c r="C15" s="6" t="str">
        <f aca="false">기준단가!D13</f>
        <v>호주산</v>
      </c>
      <c r="D15" s="6" t="str">
        <f aca="false">기준단가!E13</f>
        <v>냉동</v>
      </c>
      <c r="E15" s="14" t="n">
        <f aca="false">기준단가!G13</f>
        <v>4700</v>
      </c>
      <c r="F15" s="15"/>
      <c r="G15" s="15"/>
      <c r="H15" s="14" t="str">
        <f aca="false">IF(COUNT(F15:G15)=0,"",AVERAGE(F15:G15))</f>
        <v/>
      </c>
      <c r="I15" s="14" t="n">
        <f aca="false">ROUND(E15*(1+$C$3),-1)</f>
        <v>5410</v>
      </c>
      <c r="J15" s="16" t="str">
        <f aca="false">IF(H15="","",I15/H15-1)</f>
        <v/>
      </c>
      <c r="K15" s="17"/>
      <c r="L15" s="14" t="str">
        <f aca="false">IF(K15="","",K15*I15)</f>
        <v/>
      </c>
      <c r="M15" s="17"/>
    </row>
    <row r="16" customFormat="false" ht="15" hidden="false" customHeight="false" outlineLevel="0" collapsed="false">
      <c r="A16" s="9" t="str">
        <f aca="false">기준단가!B14</f>
        <v>돈가브리살</v>
      </c>
      <c r="B16" s="6" t="str">
        <f aca="false">기준단가!C14</f>
        <v>-</v>
      </c>
      <c r="C16" s="6" t="str">
        <f aca="false">기준단가!D14</f>
        <v>-</v>
      </c>
      <c r="D16" s="6" t="str">
        <f aca="false">기준단가!E14</f>
        <v>냉동</v>
      </c>
      <c r="E16" s="14" t="n">
        <f aca="false">기준단가!G14</f>
        <v>22000</v>
      </c>
      <c r="F16" s="15"/>
      <c r="G16" s="15"/>
      <c r="H16" s="14" t="str">
        <f aca="false">IF(COUNT(F16:G16)=0,"",AVERAGE(F16:G16))</f>
        <v/>
      </c>
      <c r="I16" s="14" t="n">
        <f aca="false">ROUND(E16*(1+$C$3),-1)</f>
        <v>25300</v>
      </c>
      <c r="J16" s="16" t="str">
        <f aca="false">IF(H16="","",I16/H16-1)</f>
        <v/>
      </c>
      <c r="K16" s="17"/>
      <c r="L16" s="14" t="str">
        <f aca="false">IF(K16="","",K16*I16)</f>
        <v/>
      </c>
      <c r="M16" s="17"/>
    </row>
    <row r="17" customFormat="false" ht="15" hidden="false" customHeight="false" outlineLevel="0" collapsed="false">
      <c r="A17" s="9" t="str">
        <f aca="false">기준단가!B15</f>
        <v>돈항정살</v>
      </c>
      <c r="B17" s="6" t="str">
        <f aca="false">기준단가!C15</f>
        <v>-</v>
      </c>
      <c r="C17" s="6" t="str">
        <f aca="false">기준단가!D15</f>
        <v>-</v>
      </c>
      <c r="D17" s="6" t="str">
        <f aca="false">기준단가!E15</f>
        <v>냉동</v>
      </c>
      <c r="E17" s="14" t="n">
        <f aca="false">기준단가!G15</f>
        <v>31000</v>
      </c>
      <c r="F17" s="15"/>
      <c r="G17" s="15"/>
      <c r="H17" s="14" t="str">
        <f aca="false">IF(COUNT(F17:G17)=0,"",AVERAGE(F17:G17))</f>
        <v/>
      </c>
      <c r="I17" s="14" t="n">
        <f aca="false">ROUND(E17*(1+$C$3),-1)</f>
        <v>35650</v>
      </c>
      <c r="J17" s="16" t="str">
        <f aca="false">IF(H17="","",I17/H17-1)</f>
        <v/>
      </c>
      <c r="K17" s="17"/>
      <c r="L17" s="14" t="str">
        <f aca="false">IF(K17="","",K17*I17)</f>
        <v/>
      </c>
      <c r="M17" s="17"/>
    </row>
    <row r="18" customFormat="false" ht="15" hidden="false" customHeight="false" outlineLevel="0" collapsed="false">
      <c r="A18" s="9" t="str">
        <f aca="false">기준단가!B16</f>
        <v>돈미사태</v>
      </c>
      <c r="B18" s="6" t="str">
        <f aca="false">기준단가!C16</f>
        <v>-</v>
      </c>
      <c r="C18" s="6" t="str">
        <f aca="false">기준단가!D16</f>
        <v>국내산</v>
      </c>
      <c r="D18" s="6" t="str">
        <f aca="false">기준단가!E16</f>
        <v>냉장</v>
      </c>
      <c r="E18" s="14" t="n">
        <f aca="false">기준단가!G16</f>
        <v>8500</v>
      </c>
      <c r="F18" s="15"/>
      <c r="G18" s="15"/>
      <c r="H18" s="14" t="str">
        <f aca="false">IF(COUNT(F18:G18)=0,"",AVERAGE(F18:G18))</f>
        <v/>
      </c>
      <c r="I18" s="14" t="n">
        <f aca="false">ROUND(E18*(1+$C$3),-1)</f>
        <v>9780</v>
      </c>
      <c r="J18" s="16" t="str">
        <f aca="false">IF(H18="","",I18/H18-1)</f>
        <v/>
      </c>
      <c r="K18" s="17"/>
      <c r="L18" s="14" t="str">
        <f aca="false">IF(K18="","",K18*I18)</f>
        <v/>
      </c>
      <c r="M18" s="17"/>
    </row>
    <row r="19" customFormat="false" ht="15" hidden="false" customHeight="false" outlineLevel="0" collapsed="false">
      <c r="A19" s="9" t="str">
        <f aca="false">기준단가!B17</f>
        <v>우삼겹양지</v>
      </c>
      <c r="B19" s="6" t="str">
        <f aca="false">기준단가!C17</f>
        <v>IBP</v>
      </c>
      <c r="C19" s="6" t="str">
        <f aca="false">기준단가!D17</f>
        <v>미국산</v>
      </c>
      <c r="D19" s="6" t="str">
        <f aca="false">기준단가!E17</f>
        <v>냉동</v>
      </c>
      <c r="E19" s="14" t="n">
        <f aca="false">기준단가!G17</f>
        <v>9500</v>
      </c>
      <c r="F19" s="15"/>
      <c r="G19" s="15"/>
      <c r="H19" s="14" t="str">
        <f aca="false">IF(COUNT(F19:G19)=0,"",AVERAGE(F19:G19))</f>
        <v/>
      </c>
      <c r="I19" s="14" t="n">
        <f aca="false">ROUND(E19*(1+$C$3),-1)</f>
        <v>10930</v>
      </c>
      <c r="J19" s="16" t="str">
        <f aca="false">IF(H19="","",I19/H19-1)</f>
        <v/>
      </c>
      <c r="K19" s="17"/>
      <c r="L19" s="14" t="str">
        <f aca="false">IF(K19="","",K19*I19)</f>
        <v/>
      </c>
      <c r="M19" s="17"/>
    </row>
    <row r="20" customFormat="false" ht="15" hidden="false" customHeight="false" outlineLevel="0" collapsed="false">
      <c r="A20" s="9" t="str">
        <f aca="false">기준단가!B18</f>
        <v>돈A지방</v>
      </c>
      <c r="B20" s="6" t="str">
        <f aca="false">기준단가!C18</f>
        <v>-</v>
      </c>
      <c r="C20" s="6" t="str">
        <f aca="false">기준단가!D18</f>
        <v>-</v>
      </c>
      <c r="D20" s="6" t="str">
        <f aca="false">기준단가!E18</f>
        <v>냉동</v>
      </c>
      <c r="E20" s="14" t="n">
        <f aca="false">기준단가!G18</f>
        <v>2400</v>
      </c>
      <c r="F20" s="15"/>
      <c r="G20" s="15"/>
      <c r="H20" s="14" t="str">
        <f aca="false">IF(COUNT(F20:G20)=0,"",AVERAGE(F20:G20))</f>
        <v/>
      </c>
      <c r="I20" s="14" t="n">
        <f aca="false">ROUND(E20*(1+$C$3),-1)</f>
        <v>2760</v>
      </c>
      <c r="J20" s="16" t="str">
        <f aca="false">IF(H20="","",I20/H20-1)</f>
        <v/>
      </c>
      <c r="K20" s="17"/>
      <c r="L20" s="14" t="str">
        <f aca="false">IF(K20="","",K20*I20)</f>
        <v/>
      </c>
      <c r="M20" s="17"/>
    </row>
    <row r="21" customFormat="false" ht="15" hidden="false" customHeight="false" outlineLevel="0" collapsed="false">
      <c r="A21" s="9" t="str">
        <f aca="false">기준단가!B19</f>
        <v>돈갈비</v>
      </c>
      <c r="B21" s="6" t="str">
        <f aca="false">기준단가!C19</f>
        <v>-</v>
      </c>
      <c r="C21" s="6" t="str">
        <f aca="false">기준단가!D19</f>
        <v>-</v>
      </c>
      <c r="D21" s="6" t="str">
        <f aca="false">기준단가!E19</f>
        <v>냉장</v>
      </c>
      <c r="E21" s="14" t="n">
        <f aca="false">기준단가!G19</f>
        <v>7500</v>
      </c>
      <c r="F21" s="15"/>
      <c r="G21" s="15"/>
      <c r="H21" s="14" t="str">
        <f aca="false">IF(COUNT(F21:G21)=0,"",AVERAGE(F21:G21))</f>
        <v/>
      </c>
      <c r="I21" s="14" t="n">
        <f aca="false">ROUND(E21*(1+$C$3),-1)</f>
        <v>8630</v>
      </c>
      <c r="J21" s="16" t="str">
        <f aca="false">IF(H21="","",I21/H21-1)</f>
        <v/>
      </c>
      <c r="K21" s="17"/>
      <c r="L21" s="14" t="str">
        <f aca="false">IF(K21="","",K21*I21)</f>
        <v/>
      </c>
      <c r="M21" s="17"/>
    </row>
    <row r="22" customFormat="false" ht="15" hidden="false" customHeight="false" outlineLevel="0" collapsed="false">
      <c r="A22" s="9" t="str">
        <f aca="false">기준단가!B20</f>
        <v>우안심살(A)</v>
      </c>
      <c r="B22" s="6" t="str">
        <f aca="false">기준단가!C20</f>
        <v>TEYS</v>
      </c>
      <c r="C22" s="6" t="str">
        <f aca="false">기준단가!D20</f>
        <v>호주산</v>
      </c>
      <c r="D22" s="6" t="str">
        <f aca="false">기준단가!E20</f>
        <v>냉장</v>
      </c>
      <c r="E22" s="14" t="n">
        <f aca="false">기준단가!G20</f>
        <v>39000</v>
      </c>
      <c r="F22" s="15"/>
      <c r="G22" s="15"/>
      <c r="H22" s="14" t="str">
        <f aca="false">IF(COUNT(F22:G22)=0,"",AVERAGE(F22:G22))</f>
        <v/>
      </c>
      <c r="I22" s="14" t="n">
        <f aca="false">ROUND(E22*(1+$C$3),-1)</f>
        <v>44850</v>
      </c>
      <c r="J22" s="16" t="str">
        <f aca="false">IF(H22="","",I22/H22-1)</f>
        <v/>
      </c>
      <c r="K22" s="17"/>
      <c r="L22" s="14" t="str">
        <f aca="false">IF(K22="","",K22*I22)</f>
        <v/>
      </c>
      <c r="M22" s="17"/>
    </row>
    <row r="23" customFormat="false" ht="15" hidden="false" customHeight="false" outlineLevel="0" collapsed="false">
      <c r="A23" s="9" t="str">
        <f aca="false">기준단가!B21</f>
        <v>돈뽀(메이플)</v>
      </c>
      <c r="B23" s="6" t="str">
        <f aca="false">기준단가!C21</f>
        <v>-</v>
      </c>
      <c r="C23" s="6" t="str">
        <f aca="false">기준단가!D21</f>
        <v>캐나다산</v>
      </c>
      <c r="D23" s="6" t="str">
        <f aca="false">기준단가!E21</f>
        <v>냉동</v>
      </c>
      <c r="E23" s="14" t="n">
        <f aca="false">기준단가!G21</f>
        <v>1950</v>
      </c>
      <c r="F23" s="15"/>
      <c r="G23" s="15"/>
      <c r="H23" s="14" t="str">
        <f aca="false">IF(COUNT(F23:G23)=0,"",AVERAGE(F23:G23))</f>
        <v/>
      </c>
      <c r="I23" s="14" t="n">
        <f aca="false">ROUND(E23*(1+$C$3),-1)</f>
        <v>2240</v>
      </c>
      <c r="J23" s="16" t="str">
        <f aca="false">IF(H23="","",I23/H23-1)</f>
        <v/>
      </c>
      <c r="K23" s="17"/>
      <c r="L23" s="14" t="str">
        <f aca="false">IF(K23="","",K23*I23)</f>
        <v/>
      </c>
      <c r="M23" s="17"/>
    </row>
    <row r="24" customFormat="false" ht="15" hidden="false" customHeight="false" outlineLevel="0" collapsed="false">
      <c r="A24" s="9" t="str">
        <f aca="false">기준단가!B22</f>
        <v>우차돌박이</v>
      </c>
      <c r="B24" s="6" t="str">
        <f aca="false">기준단가!C22</f>
        <v>EXCEL</v>
      </c>
      <c r="C24" s="6" t="str">
        <f aca="false">기준단가!D22</f>
        <v>미국산</v>
      </c>
      <c r="D24" s="6" t="str">
        <f aca="false">기준단가!E22</f>
        <v>냉동</v>
      </c>
      <c r="E24" s="14" t="n">
        <f aca="false">기준단가!G22</f>
        <v>24000</v>
      </c>
      <c r="F24" s="15"/>
      <c r="G24" s="15"/>
      <c r="H24" s="14" t="str">
        <f aca="false">IF(COUNT(F24:G24)=0,"",AVERAGE(F24:G24))</f>
        <v/>
      </c>
      <c r="I24" s="14" t="n">
        <f aca="false">ROUND(E24*(1+$C$3),-1)</f>
        <v>27600</v>
      </c>
      <c r="J24" s="16" t="str">
        <f aca="false">IF(H24="","",I24/H24-1)</f>
        <v/>
      </c>
      <c r="K24" s="17"/>
      <c r="L24" s="14" t="str">
        <f aca="false">IF(K24="","",K24*I24)</f>
        <v/>
      </c>
      <c r="M24" s="17"/>
    </row>
    <row r="26" customFormat="false" ht="15" hidden="false" customHeight="false" outlineLevel="0" collapsed="false">
      <c r="A26" s="3" t="s">
        <v>82</v>
      </c>
      <c r="L26" s="18" t="n">
        <f aca="false">SUM(L6:L24)</f>
        <v>0</v>
      </c>
    </row>
    <row r="28" customFormat="false" ht="15" hidden="false" customHeight="false" outlineLevel="0" collapsed="false">
      <c r="A28" s="1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2026-10-27T07:27:25Z</dcterms:created>
  <dc:creator>openpyxl</dc:creator>
  <dc:description/>
  <dc:language>en-US</dc:language>
  <cp:lastModifiedBy/>
  <dcterms:modified xsi:type="dcterms:W3CDTF">2026-10-27T07:27:25Z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